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z.kurnia\Downloads\"/>
    </mc:Choice>
  </mc:AlternateContent>
  <xr:revisionPtr revIDLastSave="2" documentId="13_ncr:1_{94D4CEFA-4F30-4328-8698-C9B7D21041C6}" xr6:coauthVersionLast="47" xr6:coauthVersionMax="47" xr10:uidLastSave="{23A01E0E-3195-4CB0-98A7-6077A6808355}"/>
  <bookViews>
    <workbookView xWindow="-110" yWindow="-110" windowWidth="19420" windowHeight="10420" xr2:uid="{00000000-000D-0000-FFFF-FFFF00000000}"/>
  </bookViews>
  <sheets>
    <sheet name="Acceptance Criteria Che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1" l="1"/>
  <c r="N11" i="1"/>
  <c r="D50" i="1"/>
  <c r="E50" i="1"/>
  <c r="F50" i="1"/>
  <c r="I50" i="1"/>
  <c r="J50" i="1"/>
  <c r="K50" i="1"/>
  <c r="L50" i="1"/>
  <c r="M50" i="1"/>
  <c r="C50" i="1"/>
  <c r="C4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C39" i="1"/>
  <c r="Q39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C38" i="1"/>
  <c r="O148" i="1"/>
  <c r="U156" i="1"/>
  <c r="C193" i="1" l="1"/>
  <c r="C192" i="1"/>
  <c r="M147" i="1"/>
  <c r="M148" i="1" s="1"/>
  <c r="F148" i="1"/>
  <c r="I148" i="1"/>
  <c r="J148" i="1"/>
  <c r="N148" i="1"/>
  <c r="D147" i="1"/>
  <c r="D148" i="1" s="1"/>
  <c r="E147" i="1"/>
  <c r="E148" i="1" s="1"/>
  <c r="F147" i="1"/>
  <c r="G147" i="1"/>
  <c r="G148" i="1" s="1"/>
  <c r="H147" i="1"/>
  <c r="H148" i="1" s="1"/>
  <c r="I147" i="1"/>
  <c r="J147" i="1"/>
  <c r="N147" i="1"/>
  <c r="D141" i="1"/>
  <c r="D142" i="1" s="1"/>
  <c r="E141" i="1"/>
  <c r="E142" i="1" s="1"/>
  <c r="F141" i="1"/>
  <c r="F142" i="1" s="1"/>
  <c r="E111" i="1"/>
  <c r="E112" i="1" s="1"/>
  <c r="F111" i="1"/>
  <c r="F112" i="1"/>
  <c r="D49" i="1"/>
  <c r="E49" i="1"/>
  <c r="F49" i="1"/>
  <c r="G49" i="1"/>
  <c r="I49" i="1"/>
  <c r="J49" i="1"/>
  <c r="K49" i="1"/>
  <c r="L49" i="1"/>
  <c r="M49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T23" i="1" s="1"/>
  <c r="U22" i="1"/>
  <c r="U23" i="1" s="1"/>
  <c r="V22" i="1"/>
  <c r="V23" i="1" s="1"/>
  <c r="W22" i="1"/>
  <c r="W23" i="1" s="1"/>
  <c r="X22" i="1"/>
  <c r="Y22" i="1"/>
  <c r="Z22" i="1"/>
  <c r="Z23" i="1" s="1"/>
  <c r="AA22" i="1"/>
  <c r="AB22" i="1"/>
  <c r="AB23" i="1" s="1"/>
  <c r="AC22" i="1"/>
  <c r="AC23" i="1" s="1"/>
  <c r="AD22" i="1"/>
  <c r="AD23" i="1" s="1"/>
  <c r="AE22" i="1"/>
  <c r="AE23" i="1" s="1"/>
  <c r="AF22" i="1"/>
  <c r="AF23" i="1" s="1"/>
  <c r="AG22" i="1"/>
  <c r="AG23" i="1" s="1"/>
  <c r="AH22" i="1"/>
  <c r="AH23" i="1" s="1"/>
  <c r="AI22" i="1"/>
  <c r="AJ22" i="1"/>
  <c r="AK22" i="1"/>
  <c r="AL22" i="1"/>
  <c r="AM22" i="1"/>
  <c r="AN22" i="1"/>
  <c r="AN23" i="1" s="1"/>
  <c r="AO22" i="1"/>
  <c r="AO23" i="1" s="1"/>
  <c r="AP22" i="1"/>
  <c r="AP23" i="1" s="1"/>
  <c r="AL23" i="1"/>
  <c r="AM23" i="1"/>
  <c r="X23" i="1"/>
  <c r="Y23" i="1"/>
  <c r="AA23" i="1"/>
  <c r="AJ23" i="1"/>
  <c r="AK23" i="1"/>
  <c r="S23" i="1"/>
  <c r="AI23" i="1"/>
  <c r="D211" i="1"/>
  <c r="D212" i="1" s="1"/>
  <c r="E211" i="1"/>
  <c r="E212" i="1" s="1"/>
  <c r="F211" i="1"/>
  <c r="F212" i="1" s="1"/>
  <c r="G211" i="1"/>
  <c r="G212" i="1" s="1"/>
  <c r="H211" i="1"/>
  <c r="H212" i="1" s="1"/>
  <c r="I211" i="1"/>
  <c r="I212" i="1" s="1"/>
  <c r="J211" i="1"/>
  <c r="J212" i="1" s="1"/>
  <c r="K211" i="1"/>
  <c r="K212" i="1" s="1"/>
  <c r="L211" i="1"/>
  <c r="L212" i="1" s="1"/>
  <c r="M211" i="1"/>
  <c r="M212" i="1" s="1"/>
  <c r="N211" i="1"/>
  <c r="N212" i="1" s="1"/>
  <c r="O211" i="1"/>
  <c r="O212" i="1" s="1"/>
  <c r="P211" i="1"/>
  <c r="P212" i="1" s="1"/>
  <c r="Q211" i="1"/>
  <c r="Q212" i="1" s="1"/>
  <c r="R211" i="1"/>
  <c r="R212" i="1" s="1"/>
  <c r="S211" i="1"/>
  <c r="S212" i="1" s="1"/>
  <c r="T211" i="1"/>
  <c r="T212" i="1" s="1"/>
  <c r="U211" i="1"/>
  <c r="U212" i="1" s="1"/>
  <c r="V211" i="1"/>
  <c r="V212" i="1" s="1"/>
  <c r="W211" i="1"/>
  <c r="W212" i="1" s="1"/>
  <c r="X211" i="1"/>
  <c r="X212" i="1" s="1"/>
  <c r="Y211" i="1"/>
  <c r="Y212" i="1" s="1"/>
  <c r="Z211" i="1"/>
  <c r="Z212" i="1" s="1"/>
  <c r="AA211" i="1"/>
  <c r="AA212" i="1" s="1"/>
  <c r="AB211" i="1"/>
  <c r="AB212" i="1" s="1"/>
  <c r="AC211" i="1"/>
  <c r="AC212" i="1" s="1"/>
  <c r="AD211" i="1"/>
  <c r="AD212" i="1" s="1"/>
  <c r="AE211" i="1"/>
  <c r="AE212" i="1" s="1"/>
  <c r="AF211" i="1"/>
  <c r="AF212" i="1" s="1"/>
  <c r="AG211" i="1"/>
  <c r="AG212" i="1" s="1"/>
  <c r="AH211" i="1"/>
  <c r="AH212" i="1" s="1"/>
  <c r="AI211" i="1"/>
  <c r="AI212" i="1" s="1"/>
  <c r="AJ211" i="1"/>
  <c r="AJ212" i="1" s="1"/>
  <c r="AK211" i="1"/>
  <c r="AK212" i="1" s="1"/>
  <c r="AL211" i="1"/>
  <c r="AL212" i="1" s="1"/>
  <c r="AM211" i="1"/>
  <c r="AM212" i="1" s="1"/>
  <c r="AN211" i="1"/>
  <c r="AN212" i="1" s="1"/>
  <c r="AO211" i="1"/>
  <c r="AO212" i="1" s="1"/>
  <c r="AP211" i="1"/>
  <c r="AP212" i="1" s="1"/>
  <c r="AQ211" i="1"/>
  <c r="AQ212" i="1" s="1"/>
  <c r="AR211" i="1"/>
  <c r="AR212" i="1" s="1"/>
  <c r="C211" i="1"/>
  <c r="C212" i="1" s="1"/>
  <c r="M117" i="1"/>
  <c r="M118" i="1" s="1"/>
  <c r="N117" i="1"/>
  <c r="N118" i="1" s="1"/>
  <c r="O117" i="1"/>
  <c r="O118" i="1" s="1"/>
  <c r="P117" i="1"/>
  <c r="P118" i="1" s="1"/>
  <c r="Q117" i="1"/>
  <c r="Q118" i="1" s="1"/>
  <c r="R117" i="1"/>
  <c r="R118" i="1" s="1"/>
  <c r="S117" i="1"/>
  <c r="S118" i="1" s="1"/>
  <c r="T117" i="1"/>
  <c r="T118" i="1" s="1"/>
  <c r="U117" i="1"/>
  <c r="U118" i="1" s="1"/>
  <c r="V117" i="1"/>
  <c r="V118" i="1" s="1"/>
  <c r="W117" i="1"/>
  <c r="W118" i="1" s="1"/>
  <c r="O155" i="1"/>
  <c r="O156" i="1" s="1"/>
  <c r="P155" i="1"/>
  <c r="P156" i="1" s="1"/>
  <c r="Q155" i="1"/>
  <c r="Q156" i="1" s="1"/>
  <c r="R155" i="1"/>
  <c r="R156" i="1" s="1"/>
  <c r="S155" i="1"/>
  <c r="S156" i="1" s="1"/>
  <c r="T155" i="1"/>
  <c r="T156" i="1" s="1"/>
  <c r="N50" i="1" l="1"/>
  <c r="AS212" i="1"/>
  <c r="E92" i="1" l="1"/>
  <c r="E93" i="1" s="1"/>
  <c r="H63" i="1" l="1"/>
  <c r="O23" i="1"/>
  <c r="P23" i="1"/>
  <c r="Q23" i="1"/>
  <c r="R23" i="1"/>
  <c r="K10" i="1"/>
  <c r="K11" i="1" s="1"/>
  <c r="H10" i="1"/>
  <c r="H11" i="1" s="1"/>
  <c r="I10" i="1"/>
  <c r="I11" i="1" s="1"/>
  <c r="J10" i="1"/>
  <c r="J11" i="1" s="1"/>
  <c r="G10" i="1"/>
  <c r="G11" i="1" s="1"/>
  <c r="D10" i="1" l="1"/>
  <c r="D11" i="1" s="1"/>
  <c r="E168" i="1"/>
  <c r="E169" i="1" s="1"/>
  <c r="D168" i="1"/>
  <c r="D169" i="1" s="1"/>
  <c r="C168" i="1"/>
  <c r="C169" i="1" s="1"/>
  <c r="D199" i="1"/>
  <c r="D200" i="1" s="1"/>
  <c r="C199" i="1"/>
  <c r="C200" i="1" s="1"/>
  <c r="D193" i="1"/>
  <c r="D184" i="1"/>
  <c r="D185" i="1" s="1"/>
  <c r="C184" i="1"/>
  <c r="C185" i="1" s="1"/>
  <c r="E185" i="1" s="1"/>
  <c r="C176" i="1"/>
  <c r="C177" i="1" s="1"/>
  <c r="D177" i="1" s="1"/>
  <c r="C141" i="1"/>
  <c r="C142" i="1" s="1"/>
  <c r="G142" i="1" s="1"/>
  <c r="C161" i="1"/>
  <c r="C162" i="1" s="1"/>
  <c r="D162" i="1" s="1"/>
  <c r="N155" i="1"/>
  <c r="N156" i="1" s="1"/>
  <c r="M155" i="1"/>
  <c r="M156" i="1" s="1"/>
  <c r="L155" i="1"/>
  <c r="L156" i="1" s="1"/>
  <c r="K155" i="1"/>
  <c r="K156" i="1" s="1"/>
  <c r="J155" i="1"/>
  <c r="J156" i="1" s="1"/>
  <c r="I155" i="1"/>
  <c r="I156" i="1" s="1"/>
  <c r="H155" i="1"/>
  <c r="H156" i="1" s="1"/>
  <c r="G155" i="1"/>
  <c r="G156" i="1" s="1"/>
  <c r="F155" i="1"/>
  <c r="F156" i="1" s="1"/>
  <c r="E155" i="1"/>
  <c r="E156" i="1" s="1"/>
  <c r="D155" i="1"/>
  <c r="D156" i="1" s="1"/>
  <c r="C155" i="1"/>
  <c r="C156" i="1" s="1"/>
  <c r="C147" i="1"/>
  <c r="C148" i="1" s="1"/>
  <c r="C132" i="1"/>
  <c r="C133" i="1" s="1"/>
  <c r="D133" i="1" s="1"/>
  <c r="F124" i="1"/>
  <c r="F125" i="1" s="1"/>
  <c r="E124" i="1"/>
  <c r="E125" i="1" s="1"/>
  <c r="D124" i="1"/>
  <c r="D125" i="1" s="1"/>
  <c r="C124" i="1"/>
  <c r="C125" i="1" s="1"/>
  <c r="L117" i="1"/>
  <c r="L118" i="1" s="1"/>
  <c r="K117" i="1"/>
  <c r="K118" i="1" s="1"/>
  <c r="J117" i="1"/>
  <c r="J118" i="1" s="1"/>
  <c r="I117" i="1"/>
  <c r="I118" i="1" s="1"/>
  <c r="H117" i="1"/>
  <c r="H118" i="1" s="1"/>
  <c r="G117" i="1"/>
  <c r="G118" i="1" s="1"/>
  <c r="F117" i="1"/>
  <c r="F118" i="1" s="1"/>
  <c r="E117" i="1"/>
  <c r="E118" i="1" s="1"/>
  <c r="D117" i="1"/>
  <c r="D118" i="1" s="1"/>
  <c r="C117" i="1"/>
  <c r="C118" i="1" s="1"/>
  <c r="D111" i="1"/>
  <c r="D112" i="1" s="1"/>
  <c r="C111" i="1"/>
  <c r="C112" i="1" s="1"/>
  <c r="G112" i="1" s="1"/>
  <c r="D92" i="1"/>
  <c r="D93" i="1" s="1"/>
  <c r="C92" i="1"/>
  <c r="C93" i="1" s="1"/>
  <c r="E70" i="1"/>
  <c r="E71" i="1" s="1"/>
  <c r="D70" i="1"/>
  <c r="D71" i="1" s="1"/>
  <c r="C70" i="1"/>
  <c r="C71" i="1" s="1"/>
  <c r="C22" i="1"/>
  <c r="C23" i="1" s="1"/>
  <c r="N23" i="1"/>
  <c r="M23" i="1"/>
  <c r="L23" i="1"/>
  <c r="K23" i="1"/>
  <c r="J23" i="1"/>
  <c r="I23" i="1"/>
  <c r="H23" i="1"/>
  <c r="G23" i="1"/>
  <c r="F23" i="1"/>
  <c r="E23" i="1"/>
  <c r="D23" i="1"/>
  <c r="C10" i="1"/>
  <c r="C11" i="1" s="1"/>
  <c r="F169" i="1" l="1"/>
  <c r="AQ23" i="1"/>
  <c r="F93" i="1"/>
  <c r="E200" i="1"/>
  <c r="G125" i="1"/>
  <c r="F71" i="1"/>
  <c r="X118" i="1"/>
  <c r="O100" i="1"/>
  <c r="O84" i="1"/>
  <c r="O57" i="1"/>
</calcChain>
</file>

<file path=xl/sharedStrings.xml><?xml version="1.0" encoding="utf-8"?>
<sst xmlns="http://schemas.openxmlformats.org/spreadsheetml/2006/main" count="411" uniqueCount="340">
  <si>
    <t>TANGKI PRODUK</t>
  </si>
  <si>
    <t>ACCEPTANCE CRITERIA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</si>
  <si>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</si>
  <si>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</si>
  <si>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</si>
  <si>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</si>
  <si>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</si>
  <si>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</si>
  <si>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</si>
  <si>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</si>
  <si>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</si>
  <si>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</si>
  <si>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</si>
  <si>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Coating tidak rusak.</t>
  </si>
  <si>
    <t>OFF</t>
  </si>
  <si>
    <t>Nilai Arus Katodik -850mV s/d -1200mV</t>
  </si>
  <si>
    <t>Laju Korosi 3-5 MPY</t>
  </si>
  <si>
    <t>Tidak ada tanda korosi,retak, dan kerusakan lainnya pada bagian yang diperiksa</t>
  </si>
  <si>
    <t>Tidak Bocor</t>
  </si>
  <si>
    <t>Ketebalan &gt; Ketebalan Minimum yang ditentukan + CA (untuk sisa umur fasilitas yang ditentukan)</t>
  </si>
  <si>
    <t>SECDEV</t>
  </si>
  <si>
    <t>PIPA PRODUK</t>
  </si>
  <si>
    <t>PL-DS01</t>
  </si>
  <si>
    <t>PL-RS01</t>
  </si>
  <si>
    <t>PL-TY01</t>
  </si>
  <si>
    <t>PL-100103</t>
  </si>
  <si>
    <t>PL-100104</t>
  </si>
  <si>
    <t>PL-100106</t>
  </si>
  <si>
    <t>PL-100203</t>
  </si>
  <si>
    <t>PL-100204</t>
  </si>
  <si>
    <t>PL-100206</t>
  </si>
  <si>
    <t>PL-100303</t>
  </si>
  <si>
    <t>PL-100304</t>
  </si>
  <si>
    <t>PL-100306</t>
  </si>
  <si>
    <t>PL-200102</t>
  </si>
  <si>
    <t>PL-200103</t>
  </si>
  <si>
    <t>PL-200104</t>
  </si>
  <si>
    <t>PL-200106</t>
  </si>
  <si>
    <t>PL-200202</t>
  </si>
  <si>
    <t>PL-200203</t>
  </si>
  <si>
    <t>PL-200204</t>
  </si>
  <si>
    <t>PL-200206</t>
  </si>
  <si>
    <t>PL-200302</t>
  </si>
  <si>
    <t>PL-200303</t>
  </si>
  <si>
    <t>PL-200304</t>
  </si>
  <si>
    <t>PL-200306</t>
  </si>
  <si>
    <t>PS-101</t>
  </si>
  <si>
    <t>PS-102</t>
  </si>
  <si>
    <t>PS-103</t>
  </si>
  <si>
    <t>PS-104</t>
  </si>
  <si>
    <t>PS-201</t>
  </si>
  <si>
    <t>PS-202</t>
  </si>
  <si>
    <t>PS-203</t>
  </si>
  <si>
    <t>PS-204</t>
  </si>
  <si>
    <t>PS-301</t>
  </si>
  <si>
    <t>PS-302</t>
  </si>
  <si>
    <t>PS-303</t>
  </si>
  <si>
    <t>PS-304</t>
  </si>
  <si>
    <t>PS-401</t>
  </si>
  <si>
    <t>PS-402</t>
  </si>
  <si>
    <t>PS-403</t>
  </si>
  <si>
    <t>PS-404</t>
  </si>
  <si>
    <t>Tidak ada kondisi karat atau kerusakan (retak, bengkok/dent, dan lain sebagainya</t>
  </si>
  <si>
    <t>Tidak ada kebocoran</t>
  </si>
  <si>
    <t>Tidak ada kerusakan struktur penyanggah pipa</t>
  </si>
  <si>
    <t>Tidak ada vibrasi</t>
  </si>
  <si>
    <t>POMPA  PRODUK utara-selatan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</si>
  <si>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</si>
  <si>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</si>
  <si>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</si>
  <si>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</si>
  <si>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</si>
  <si>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</si>
  <si>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</si>
  <si>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</si>
  <si>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</si>
  <si>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</si>
  <si>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</si>
  <si>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</si>
  <si>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</si>
  <si>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</si>
  <si>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Tidak ada kebocoran pada mechanical seal</t>
  </si>
  <si>
    <t>Tidak ada kerusakan  pada mechanical seal</t>
  </si>
  <si>
    <t>Tidak ada kebocoran pada sambungan flange dengan pompa/badan pompa</t>
  </si>
  <si>
    <t>Tidak ada kerusakan pada sambungan flange dengan pompa/badan pompa</t>
  </si>
  <si>
    <t>Baut-baut flange masih dalam posisi kencang (rapat) sesuai torsi</t>
  </si>
  <si>
    <t>Baut-baut pada motor listrik dan terminal box komplit dan rapat</t>
  </si>
  <si>
    <t>Gasket/seal pada terminal box tidak rusak atau robek.</t>
  </si>
  <si>
    <t>Cable glands dalam keadaan terlindungi (aman)</t>
  </si>
  <si>
    <t>Colokan listrik (plug) terpasang dengan baik</t>
  </si>
  <si>
    <t>Tidak ada kerusakan pada penutup motor</t>
  </si>
  <si>
    <t>Tubing untuk purging terpasang (apabila dapat diterapkan) dan tight (untuk motor di Class I Div 2)</t>
  </si>
  <si>
    <t>LEVEL ALARM / LEVEL ALARM  SWITCH</t>
  </si>
  <si>
    <t>LAL-401</t>
  </si>
  <si>
    <t>LAL-402</t>
  </si>
  <si>
    <t>LAL-403</t>
  </si>
  <si>
    <t>LAL-404</t>
  </si>
  <si>
    <t>LAL-405</t>
  </si>
  <si>
    <t>LAL-406</t>
  </si>
  <si>
    <t>LAL-407</t>
  </si>
  <si>
    <t>LAL-408</t>
  </si>
  <si>
    <t>LAL-409</t>
  </si>
  <si>
    <t>LAL-410</t>
  </si>
  <si>
    <t>LAL-411</t>
  </si>
  <si>
    <t>Tidak ada kerusakan pada transmiter</t>
  </si>
  <si>
    <t>Pengukuran level akurat</t>
  </si>
  <si>
    <t>Alarm berfungsi pada level yang telah ditentukan</t>
  </si>
  <si>
    <t>Tidak ada kerusakan pada transmiter Level alarm switch (LAHH)</t>
  </si>
  <si>
    <t>Pengukuran level akurat (LAHH)</t>
  </si>
  <si>
    <t>Switch berfungsi pada level yang telah ditentukan</t>
  </si>
  <si>
    <t>ACTUATED ISOLATION VALVE (MOV)</t>
  </si>
  <si>
    <t>MOV-01</t>
  </si>
  <si>
    <t>MOV-02</t>
  </si>
  <si>
    <t>MOV-03</t>
  </si>
  <si>
    <t>MOV-04</t>
  </si>
  <si>
    <t>MOV-05</t>
  </si>
  <si>
    <t>MOV-06</t>
  </si>
  <si>
    <t>MOV-07</t>
  </si>
  <si>
    <t>MOV-08</t>
  </si>
  <si>
    <t>MOV-09</t>
  </si>
  <si>
    <t>MOV-10</t>
  </si>
  <si>
    <t>MOV-11</t>
  </si>
  <si>
    <t>MOV-12</t>
  </si>
  <si>
    <t>Stroke Time (waktu buka/tutup) SDV &lt; 1.5 x dia, atau 0.5 x process safety time, atau sesuai petunjuk manufaktur SDV</t>
  </si>
  <si>
    <t>Tingkat kerapatan (Passing Rate) dari SDV &lt; 0.3 kg/min cairan atau sesuai petunjuk manufaktu</t>
  </si>
  <si>
    <t>POWER SUPPLY (UPS)</t>
  </si>
  <si>
    <t>UPS-01</t>
  </si>
  <si>
    <t>Terdapat Tenaga penggerak cadangan untuk Actudated valve (MOV/SDV) dengan Daya mencukupi</t>
  </si>
  <si>
    <t>SUMUR PANTAU</t>
  </si>
  <si>
    <t>SP-01</t>
  </si>
  <si>
    <t>SP-02</t>
  </si>
  <si>
    <t>SP-03</t>
  </si>
  <si>
    <t>Sumur pantau mampu menangkap aliran BBM yang tercampur pada air tanah</t>
  </si>
  <si>
    <t>Hasil pengukuran sample air tidak melebihi Nilai Baku Mutu yang ditetapkan.</t>
  </si>
  <si>
    <t>Sumur pantau diberi titik koordinat.</t>
  </si>
  <si>
    <t>FIXED GAS &amp; FIRE DETECTOR</t>
  </si>
  <si>
    <t>GD-01</t>
  </si>
  <si>
    <t>GD-02</t>
  </si>
  <si>
    <t>GD-03</t>
  </si>
  <si>
    <t>GD-04</t>
  </si>
  <si>
    <t>GD-05</t>
  </si>
  <si>
    <t>GD-06</t>
  </si>
  <si>
    <t>GD-07</t>
  </si>
  <si>
    <t>GD-08</t>
  </si>
  <si>
    <t>GD-09</t>
  </si>
  <si>
    <t>GD-10</t>
  </si>
  <si>
    <t>GD-11</t>
  </si>
  <si>
    <t>GD-12</t>
  </si>
  <si>
    <t>Tidak ada tanda kerusakan pada seal gland housing atau kotor pada optik</t>
  </si>
  <si>
    <t>Deviasi %LEL &lt; 5% LEL. (%LEL pada detektor dan HMI)</t>
  </si>
  <si>
    <t>%LEL pada High Alarm dan High High Alarm (Danger/Trip) sesuai dengan pembacaan pada HM</t>
  </si>
  <si>
    <t xml:space="preserve"> Fuses, Lampu/LED tidak ada kerusakan dan berfungsi</t>
  </si>
  <si>
    <t>Optik bersih</t>
  </si>
  <si>
    <t>Tidak ada kerusakan atau longgar pada junction box dan kabel</t>
  </si>
  <si>
    <t>Alarm terverifikasi pada masing-masing HMI dan alarm log</t>
  </si>
  <si>
    <t>Tidak ada tanda-tanda korosi atau bocor pada baterai</t>
  </si>
  <si>
    <t>PORTABLE GAS DETECTOR</t>
  </si>
  <si>
    <t>PGD-01</t>
  </si>
  <si>
    <t>PGD-02</t>
  </si>
  <si>
    <t>PGD-03</t>
  </si>
  <si>
    <t>Semua peralatan dilakukan pemeliharaan sesuai jadwal (standar fabrikasi)</t>
  </si>
  <si>
    <t>Sensor bersih</t>
  </si>
  <si>
    <t>Tidak ada tanda-tanda korosi atau bocor pada batera</t>
  </si>
  <si>
    <t>Masih dalam masa kalibrasi (belum due date)</t>
  </si>
  <si>
    <t>ACTUATED INTERVATION VALVE (ESDV)</t>
  </si>
  <si>
    <t>SDV-01</t>
  </si>
  <si>
    <t>SDV-02</t>
  </si>
  <si>
    <t>SDV-03</t>
  </si>
  <si>
    <t>SDV-04</t>
  </si>
  <si>
    <t>SDV-05</t>
  </si>
  <si>
    <t>SDV-06</t>
  </si>
  <si>
    <t>SDV-07</t>
  </si>
  <si>
    <t>SDV-08</t>
  </si>
  <si>
    <t>SDV-09</t>
  </si>
  <si>
    <t>SDV-10</t>
  </si>
  <si>
    <t>SDV-11</t>
  </si>
  <si>
    <t>SDV-12</t>
  </si>
  <si>
    <t>ELECTRICAL SYSTEM</t>
  </si>
  <si>
    <t>ES-401</t>
  </si>
  <si>
    <t>ES-402</t>
  </si>
  <si>
    <t>ES-403</t>
  </si>
  <si>
    <t>ES-404</t>
  </si>
  <si>
    <t>Baut-baut pada terminal box komplit dan rapat</t>
  </si>
  <si>
    <t>Gasket/seal pada terminal box tidak rusak atau robek</t>
  </si>
  <si>
    <t>Tidak ada kerusakan pada penutup box</t>
  </si>
  <si>
    <t>Tidak ada kerusakan insulasi.</t>
  </si>
  <si>
    <t>GROUNDING SYSTEM</t>
  </si>
  <si>
    <t>GS-401</t>
  </si>
  <si>
    <t>GS-402</t>
  </si>
  <si>
    <t>GS-403</t>
  </si>
  <si>
    <t>GS-404</t>
  </si>
  <si>
    <t>GS-405</t>
  </si>
  <si>
    <t>GS-406</t>
  </si>
  <si>
    <t>GS-407</t>
  </si>
  <si>
    <t>GS-408</t>
  </si>
  <si>
    <t>GS-409</t>
  </si>
  <si>
    <t>GS-410</t>
  </si>
  <si>
    <t>GS-411</t>
  </si>
  <si>
    <t>GS-412</t>
  </si>
  <si>
    <t>GS-413</t>
  </si>
  <si>
    <t>GS-414</t>
  </si>
  <si>
    <t>GS-415</t>
  </si>
  <si>
    <t>GS-416</t>
  </si>
  <si>
    <t>GS-417</t>
  </si>
  <si>
    <t>GS-418</t>
  </si>
  <si>
    <t>GS-419</t>
  </si>
  <si>
    <t>GS-420</t>
  </si>
  <si>
    <t>GS-421</t>
  </si>
  <si>
    <t xml:space="preserve">Grounding Check maks 3 ohm </t>
  </si>
  <si>
    <t>LIGHTNING PROETCTION SYSTEM</t>
  </si>
  <si>
    <t>LPS-401</t>
  </si>
  <si>
    <t>LPS-402</t>
  </si>
  <si>
    <t>LPS-403</t>
  </si>
  <si>
    <t>LPS-404</t>
  </si>
  <si>
    <t xml:space="preserve">Grounding Check maks 5 ohm </t>
  </si>
  <si>
    <t>Sudah ada sertifikat dari Disnaker setempat</t>
  </si>
  <si>
    <t>BUNDWALL SYSTEM</t>
  </si>
  <si>
    <t>BWL-401</t>
  </si>
  <si>
    <t>Tidak ada kerusakan (retak, berlubang, dll)</t>
  </si>
  <si>
    <t>Kapasitas design minimum 100% dari kapasitas tangki terbesar</t>
  </si>
  <si>
    <t>Tinggi tanggul tidak boleh melebihi dari 1.5 meter.</t>
  </si>
  <si>
    <t>OIL CATCHER</t>
  </si>
  <si>
    <t>BLD-411</t>
  </si>
  <si>
    <t>BLD-412</t>
  </si>
  <si>
    <t>BLD-413</t>
  </si>
  <si>
    <t>BLD-414</t>
  </si>
  <si>
    <t>Oil Catcher mampu melakukan penapisan terhadap produk BBM dan air sehingga mampu menahan lapisan minyak keluar ke badan air</t>
  </si>
  <si>
    <t>Semua aliran air pada outlet oil catcher melalui alat pengukur debit (flow meter atau manual) yang berfungsi secara normal.</t>
  </si>
  <si>
    <t>Konstruksi oil catcher harus kedap air</t>
  </si>
  <si>
    <t>Dilengkapi dengan pengontrol aliran (Valve, pintu air) yang berfungsi baik.</t>
  </si>
  <si>
    <t>COOLING SYSTEM</t>
  </si>
  <si>
    <t>PL-4000</t>
  </si>
  <si>
    <t>PL-400104</t>
  </si>
  <si>
    <t>PL-400204</t>
  </si>
  <si>
    <t>PL-40304/00</t>
  </si>
  <si>
    <t>PL-40304/01</t>
  </si>
  <si>
    <t>PL-40304/02</t>
  </si>
  <si>
    <t>PL-40304/03</t>
  </si>
  <si>
    <t>PL-40304/04</t>
  </si>
  <si>
    <t>PL-40304/05</t>
  </si>
  <si>
    <t>PL-40304/06</t>
  </si>
  <si>
    <t>PL-40304/07</t>
  </si>
  <si>
    <t>PL-40304/08</t>
  </si>
  <si>
    <t>Tidak ada hambatan atau kotoran pada air yang keluar dari sprinkler.</t>
  </si>
  <si>
    <t>EMERGENCY COMMUNICATION</t>
  </si>
  <si>
    <t>HT-01</t>
  </si>
  <si>
    <t>HT-02</t>
  </si>
  <si>
    <t>HT-03</t>
  </si>
  <si>
    <t>HT-04</t>
  </si>
  <si>
    <t>HT-05</t>
  </si>
  <si>
    <t>HT-06</t>
  </si>
  <si>
    <t>HT-07</t>
  </si>
  <si>
    <t>HT-08</t>
  </si>
  <si>
    <t>HT-09</t>
  </si>
  <si>
    <t>HT-10</t>
  </si>
  <si>
    <t>HT-11</t>
  </si>
  <si>
    <t>HT-12</t>
  </si>
  <si>
    <t>HT-13</t>
  </si>
  <si>
    <t>HT-14</t>
  </si>
  <si>
    <t>HT-15</t>
  </si>
  <si>
    <t>HT-16</t>
  </si>
  <si>
    <t>HT-17</t>
  </si>
  <si>
    <t>HT-18</t>
  </si>
  <si>
    <t>Jumlah HT sesuai dengan jumlah personel / bagian saat keadaan darurat</t>
  </si>
  <si>
    <t>Baterai dalam kondisi baik (tidak nge-drop)</t>
  </si>
  <si>
    <t>Spesifikasi HT harus exploision proof.</t>
  </si>
  <si>
    <t>MUSTER POINT</t>
  </si>
  <si>
    <t>AP-01</t>
  </si>
  <si>
    <t>Muster point terlihat dengan jelas dan tidak ada penghalang saat dilakukan evakuasi pekerja ke muster point</t>
  </si>
  <si>
    <t>OIL SPILL EMERGENCY RESPONSE</t>
  </si>
  <si>
    <t>Semua peralatan oil spill response siap digunakan sewaktu-waktu jika terjadi insiden oil spill.</t>
  </si>
  <si>
    <t>Kapasitas / volume / jumlah sesuai dan mencukupi sesuai dengan skenario keadaan darurat oil spill di lokasi tersebut</t>
  </si>
  <si>
    <t>FOAM SYSTEM</t>
  </si>
  <si>
    <t>Foam-01</t>
  </si>
  <si>
    <t>Volume foam sesuai kebutuhan (Foam concentrate)</t>
  </si>
  <si>
    <t>Konsentrasi foam sesuai (foam concentrate)</t>
  </si>
  <si>
    <t>Tidak ada tanda-tanda korosi, kebocoran atau kendor pada Line Foam Chamber</t>
  </si>
  <si>
    <t>FIRE FIGHTING EQUIPMENT (FIRE PUMP)</t>
  </si>
  <si>
    <t>FE-01</t>
  </si>
  <si>
    <t>FE-02</t>
  </si>
  <si>
    <t>Pompa berfungsi dan laju alir dan tekanan sesuai dengan pump chart pada kapasitas 65%, 100%, dan 150%.</t>
  </si>
  <si>
    <t>Jumlah air sesuai dengan kebutuhan pemadaman kebakaran</t>
  </si>
  <si>
    <t>Jangkauan air dapat mencapai area yang dilindungi.</t>
  </si>
  <si>
    <t>MOBILE FIRE FIGHTING EQUIPMENT (POMPA PORTABLE)</t>
  </si>
  <si>
    <t>P-402</t>
  </si>
  <si>
    <t>GENSET</t>
  </si>
  <si>
    <t>GS-01</t>
  </si>
  <si>
    <t>GS-02</t>
  </si>
  <si>
    <t>Terdapat Tenaga penggerak cadangan untuk Fire Pump dengan Daya mencukupi.</t>
  </si>
  <si>
    <t>Volume Diesel/solar cukup untuk operasional Genset selama 4 jam (minimal)</t>
  </si>
  <si>
    <t>OVERPRESSURE PROTECTION (PSV/PVRV/Vent)</t>
  </si>
  <si>
    <t>PSV-101</t>
  </si>
  <si>
    <t>PSV-102</t>
  </si>
  <si>
    <t>PSV-103</t>
  </si>
  <si>
    <t>PSV-104</t>
  </si>
  <si>
    <t>PSV-105</t>
  </si>
  <si>
    <t>PSV-1063</t>
  </si>
  <si>
    <t>PSV-1064</t>
  </si>
  <si>
    <t>PSV-107</t>
  </si>
  <si>
    <t>PSV-1073</t>
  </si>
  <si>
    <t>PSV-2011</t>
  </si>
  <si>
    <t>PSV-2012</t>
  </si>
  <si>
    <t>PSV-2021</t>
  </si>
  <si>
    <t>PSV-2022</t>
  </si>
  <si>
    <t>PSV-2031</t>
  </si>
  <si>
    <t>PSV-2041</t>
  </si>
  <si>
    <t>PSV-2051</t>
  </si>
  <si>
    <t>PSV-2061</t>
  </si>
  <si>
    <t>PSV-2071</t>
  </si>
  <si>
    <t>PSV-1031</t>
  </si>
  <si>
    <t>PSV-1032</t>
  </si>
  <si>
    <t>PSV-1041</t>
  </si>
  <si>
    <t>PSV-1042</t>
  </si>
  <si>
    <t>PSV-1051</t>
  </si>
  <si>
    <t>PSV-1052</t>
  </si>
  <si>
    <t>PSV-1061</t>
  </si>
  <si>
    <t>PSV-1062</t>
  </si>
  <si>
    <t>PSV-1071</t>
  </si>
  <si>
    <t>PSV-1072</t>
  </si>
  <si>
    <t>PSV-1081</t>
  </si>
  <si>
    <t>PSV-1082</t>
  </si>
  <si>
    <t>PSV-1091</t>
  </si>
  <si>
    <t>PSV-1092</t>
  </si>
  <si>
    <t>PSV-1101</t>
  </si>
  <si>
    <t>PSV-1102</t>
  </si>
  <si>
    <t>PSV-1111</t>
  </si>
  <si>
    <t>PSV-1112</t>
  </si>
  <si>
    <t>PVV-401</t>
  </si>
  <si>
    <t>PVV-402</t>
  </si>
  <si>
    <t>PVV-403</t>
  </si>
  <si>
    <t>PVV-404</t>
  </si>
  <si>
    <t>PVV-405</t>
  </si>
  <si>
    <t>PVV-406</t>
  </si>
  <si>
    <t>Bersih bagian dalam dan luar PSV/PVRV (tidak ada korosi atau deposit pada saluran inlet dan outlet nozzle.</t>
  </si>
  <si>
    <t>Toleransi tekanan (buka/nutup) 2 psi (&lt; setting &lt; 70 psi) atau 3% untuk setting &gt; 70 psi.</t>
  </si>
  <si>
    <t>Tidak ada kebocoran.</t>
  </si>
  <si>
    <t>Sertifikat PSV Valid</t>
  </si>
  <si>
    <t>PSV di-set pada tekanan maksimum yang diizinkan atau maximum allowable working pressure (MAWP).
&gt; 110% MAWP untuk non-fire case (blocked discharge)
&gt; 121% MAWP untuk fire case</t>
  </si>
  <si>
    <t>Valve pada kondisi Lock Open atau Car Seal Open ketika operasi berjalan.</t>
  </si>
  <si>
    <t>Tidak ada sumbatan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</si>
</sst>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b/>
      <sz val="14"/>
      <color theme="1"/>
      <name val="Lato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3" borderId="5" xfId="0" applyFont="1" applyFill="1" applyBorder="1"/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3" borderId="7" xfId="0" applyFont="1" applyFill="1" applyBorder="1"/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2">
    <cellStyle name="Normal" xfId="0" builtinId="0"/>
    <cellStyle name="Normal 2" xfId="1" xr:uid="{0F6A2965-5639-418A-A37A-351A9FE62C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F212"/>
  <sheetViews>
    <sheetView tabSelected="1" zoomScale="72" zoomScaleNormal="55" workbookViewId="0">
      <pane xSplit="2" ySplit="1" topLeftCell="G37" activePane="bottomRight" state="frozen"/>
      <selection pane="bottomRight" activeCell="H49" sqref="H49"/>
      <selection pane="bottomLeft" activeCell="A2" sqref="A2"/>
      <selection pane="topRight" activeCell="C1" sqref="C1"/>
    </sheetView>
  </sheetViews>
  <sheetFormatPr defaultColWidth="8.85546875" defaultRowHeight="18"/>
  <cols>
    <col min="1" max="1" width="6.42578125" style="4" customWidth="1"/>
    <col min="2" max="2" width="55" style="15" customWidth="1"/>
    <col min="3" max="14" width="10.5703125" style="4" customWidth="1"/>
    <col min="15" max="44" width="10.5703125" style="1" customWidth="1"/>
    <col min="45" max="16384" width="8.85546875" style="1"/>
  </cols>
  <sheetData>
    <row r="2" spans="1:42" ht="21.6">
      <c r="A2" s="5" t="s">
        <v>0</v>
      </c>
    </row>
    <row r="3" spans="1:42" ht="18" customHeight="1">
      <c r="A3" s="25" t="s">
        <v>1</v>
      </c>
      <c r="B3" s="25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</row>
    <row r="4" spans="1:42">
      <c r="A4" s="3">
        <v>1</v>
      </c>
      <c r="B4" s="14" t="s">
        <v>13</v>
      </c>
      <c r="C4" s="3">
        <v>1</v>
      </c>
      <c r="D4" s="3">
        <v>1</v>
      </c>
      <c r="E4" s="20" t="s">
        <v>14</v>
      </c>
      <c r="F4" s="20" t="s">
        <v>14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20" t="s">
        <v>14</v>
      </c>
      <c r="M4" s="20" t="s">
        <v>14</v>
      </c>
    </row>
    <row r="5" spans="1:42">
      <c r="A5" s="3">
        <v>2</v>
      </c>
      <c r="B5" s="14" t="s">
        <v>15</v>
      </c>
      <c r="C5" s="3">
        <v>1</v>
      </c>
      <c r="D5" s="3">
        <v>1</v>
      </c>
      <c r="E5" s="21"/>
      <c r="F5" s="21"/>
      <c r="G5" s="3">
        <v>1</v>
      </c>
      <c r="H5" s="3">
        <v>1</v>
      </c>
      <c r="I5" s="3">
        <v>1</v>
      </c>
      <c r="J5" s="3">
        <v>1</v>
      </c>
      <c r="K5" s="3">
        <v>1</v>
      </c>
      <c r="L5" s="21"/>
      <c r="M5" s="21"/>
    </row>
    <row r="6" spans="1:42">
      <c r="A6" s="3">
        <v>3</v>
      </c>
      <c r="B6" s="14" t="s">
        <v>16</v>
      </c>
      <c r="C6" s="3">
        <v>1</v>
      </c>
      <c r="D6" s="3">
        <v>1</v>
      </c>
      <c r="E6" s="21"/>
      <c r="F6" s="21"/>
      <c r="G6" s="3">
        <v>1</v>
      </c>
      <c r="H6" s="3">
        <v>1</v>
      </c>
      <c r="I6" s="3">
        <v>1</v>
      </c>
      <c r="J6" s="3">
        <v>1</v>
      </c>
      <c r="K6" s="3">
        <v>1</v>
      </c>
      <c r="L6" s="21"/>
      <c r="M6" s="21"/>
    </row>
    <row r="7" spans="1:42" ht="36">
      <c r="A7" s="3">
        <v>4</v>
      </c>
      <c r="B7" s="14" t="s">
        <v>17</v>
      </c>
      <c r="C7" s="3">
        <v>1</v>
      </c>
      <c r="D7" s="3">
        <v>1</v>
      </c>
      <c r="E7" s="21"/>
      <c r="F7" s="21"/>
      <c r="G7" s="3">
        <v>1</v>
      </c>
      <c r="H7" s="3">
        <v>1</v>
      </c>
      <c r="I7" s="3">
        <v>1</v>
      </c>
      <c r="J7" s="3">
        <v>1</v>
      </c>
      <c r="K7" s="3">
        <v>1</v>
      </c>
      <c r="L7" s="21"/>
      <c r="M7" s="21"/>
    </row>
    <row r="8" spans="1:42">
      <c r="A8" s="3">
        <v>5</v>
      </c>
      <c r="B8" s="14" t="s">
        <v>18</v>
      </c>
      <c r="C8" s="3">
        <v>1</v>
      </c>
      <c r="D8" s="3">
        <v>1</v>
      </c>
      <c r="E8" s="21"/>
      <c r="F8" s="21"/>
      <c r="G8" s="3">
        <v>1</v>
      </c>
      <c r="H8" s="3">
        <v>1</v>
      </c>
      <c r="I8" s="3">
        <v>1</v>
      </c>
      <c r="J8" s="3">
        <v>1</v>
      </c>
      <c r="K8" s="3">
        <v>1</v>
      </c>
      <c r="L8" s="21"/>
      <c r="M8" s="21"/>
    </row>
    <row r="9" spans="1:42" ht="36">
      <c r="A9" s="3">
        <v>6</v>
      </c>
      <c r="B9" s="14" t="s">
        <v>19</v>
      </c>
      <c r="C9" s="6">
        <v>1</v>
      </c>
      <c r="D9" s="6">
        <v>1</v>
      </c>
      <c r="E9" s="21"/>
      <c r="F9" s="21"/>
      <c r="G9" s="6">
        <v>1</v>
      </c>
      <c r="H9" s="6">
        <v>1</v>
      </c>
      <c r="I9" s="6">
        <v>1</v>
      </c>
      <c r="J9" s="6">
        <v>1</v>
      </c>
      <c r="K9" s="6">
        <v>1</v>
      </c>
      <c r="L9" s="21"/>
      <c r="M9" s="21"/>
    </row>
    <row r="10" spans="1:42">
      <c r="C10" s="3">
        <f>SUM(C4:C9)</f>
        <v>6</v>
      </c>
      <c r="D10" s="3">
        <f t="shared" ref="D10:G10" si="0">SUM(D4:D9)</f>
        <v>6</v>
      </c>
      <c r="E10" s="3"/>
      <c r="F10" s="3"/>
      <c r="G10" s="3">
        <f t="shared" si="0"/>
        <v>6</v>
      </c>
      <c r="H10" s="3">
        <f t="shared" ref="H10:K10" si="1">SUM(H4:H9)</f>
        <v>6</v>
      </c>
      <c r="I10" s="3">
        <f t="shared" si="1"/>
        <v>6</v>
      </c>
      <c r="J10" s="3">
        <f t="shared" si="1"/>
        <v>6</v>
      </c>
      <c r="K10" s="3">
        <f t="shared" si="1"/>
        <v>6</v>
      </c>
      <c r="L10" s="3"/>
      <c r="M10" s="3"/>
      <c r="N10" s="11"/>
    </row>
    <row r="11" spans="1:42">
      <c r="B11" s="15" t="s">
        <v>20</v>
      </c>
      <c r="C11" s="3">
        <f>6-C10</f>
        <v>0</v>
      </c>
      <c r="D11" s="3">
        <f t="shared" ref="D11:G11" si="2">6-D10</f>
        <v>0</v>
      </c>
      <c r="E11" s="3"/>
      <c r="F11" s="3"/>
      <c r="G11" s="3">
        <f t="shared" si="2"/>
        <v>0</v>
      </c>
      <c r="H11" s="3">
        <f t="shared" ref="H11:K11" si="3">6-H10</f>
        <v>0</v>
      </c>
      <c r="I11" s="3">
        <f t="shared" si="3"/>
        <v>0</v>
      </c>
      <c r="J11" s="3">
        <f t="shared" si="3"/>
        <v>0</v>
      </c>
      <c r="K11" s="3">
        <f t="shared" si="3"/>
        <v>0</v>
      </c>
      <c r="L11" s="3"/>
      <c r="M11" s="3"/>
      <c r="N11" s="12">
        <f>SUM(C11:M11)</f>
        <v>0</v>
      </c>
    </row>
    <row r="13" spans="1:42" ht="21.6">
      <c r="A13" s="5" t="s">
        <v>21</v>
      </c>
    </row>
    <row r="14" spans="1:42" s="2" customFormat="1" ht="29.1" customHeight="1">
      <c r="A14" s="26" t="s">
        <v>1</v>
      </c>
      <c r="B14" s="26"/>
      <c r="C14" s="17" t="s">
        <v>22</v>
      </c>
      <c r="D14" s="17" t="s">
        <v>23</v>
      </c>
      <c r="E14" s="17" t="s">
        <v>24</v>
      </c>
      <c r="F14" s="17" t="s">
        <v>25</v>
      </c>
      <c r="G14" s="17" t="s">
        <v>26</v>
      </c>
      <c r="H14" s="17" t="s">
        <v>27</v>
      </c>
      <c r="I14" s="17" t="s">
        <v>28</v>
      </c>
      <c r="J14" s="17" t="s">
        <v>29</v>
      </c>
      <c r="K14" s="17" t="s">
        <v>30</v>
      </c>
      <c r="L14" s="17" t="s">
        <v>31</v>
      </c>
      <c r="M14" s="17" t="s">
        <v>32</v>
      </c>
      <c r="N14" s="17" t="s">
        <v>33</v>
      </c>
      <c r="O14" s="17" t="s">
        <v>34</v>
      </c>
      <c r="P14" s="17" t="s">
        <v>35</v>
      </c>
      <c r="Q14" s="17" t="s">
        <v>36</v>
      </c>
      <c r="R14" s="17" t="s">
        <v>37</v>
      </c>
      <c r="S14" s="17" t="s">
        <v>38</v>
      </c>
      <c r="T14" s="17" t="s">
        <v>39</v>
      </c>
      <c r="U14" s="17" t="s">
        <v>40</v>
      </c>
      <c r="V14" s="17" t="s">
        <v>41</v>
      </c>
      <c r="W14" s="17" t="s">
        <v>42</v>
      </c>
      <c r="X14" s="17" t="s">
        <v>43</v>
      </c>
      <c r="Y14" s="17" t="s">
        <v>44</v>
      </c>
      <c r="Z14" s="17" t="s">
        <v>45</v>
      </c>
      <c r="AA14" s="17" t="s">
        <v>46</v>
      </c>
      <c r="AB14" s="17" t="s">
        <v>47</v>
      </c>
      <c r="AC14" s="17" t="s">
        <v>48</v>
      </c>
      <c r="AD14" s="17" t="s">
        <v>49</v>
      </c>
      <c r="AE14" s="17" t="s">
        <v>50</v>
      </c>
      <c r="AF14" s="17" t="s">
        <v>51</v>
      </c>
      <c r="AG14" s="17" t="s">
        <v>52</v>
      </c>
      <c r="AH14" s="17" t="s">
        <v>53</v>
      </c>
      <c r="AI14" s="17" t="s">
        <v>54</v>
      </c>
      <c r="AJ14" s="17" t="s">
        <v>55</v>
      </c>
      <c r="AK14" s="17" t="s">
        <v>56</v>
      </c>
      <c r="AL14" s="17" t="s">
        <v>57</v>
      </c>
      <c r="AM14" s="17" t="s">
        <v>58</v>
      </c>
      <c r="AN14" s="17" t="s">
        <v>59</v>
      </c>
      <c r="AO14" s="17" t="s">
        <v>60</v>
      </c>
      <c r="AP14" s="17" t="s">
        <v>61</v>
      </c>
    </row>
    <row r="15" spans="1:42">
      <c r="A15" s="3">
        <v>1</v>
      </c>
      <c r="B15" s="14" t="s">
        <v>15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</row>
    <row r="16" spans="1:42">
      <c r="A16" s="3">
        <v>2</v>
      </c>
      <c r="B16" s="14" t="s">
        <v>16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</row>
    <row r="17" spans="1:43">
      <c r="A17" s="3">
        <v>3</v>
      </c>
      <c r="B17" s="14" t="s">
        <v>13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</row>
    <row r="18" spans="1:43" ht="36">
      <c r="A18" s="3">
        <v>4</v>
      </c>
      <c r="B18" s="14" t="s">
        <v>62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3">
        <v>1</v>
      </c>
      <c r="AP18" s="3">
        <v>1</v>
      </c>
    </row>
    <row r="19" spans="1:43">
      <c r="A19" s="3">
        <v>5</v>
      </c>
      <c r="B19" s="14" t="s">
        <v>63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</row>
    <row r="20" spans="1:43">
      <c r="A20" s="3">
        <v>6</v>
      </c>
      <c r="B20" s="14" t="s">
        <v>64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</row>
    <row r="21" spans="1:43">
      <c r="A21" s="3">
        <v>7</v>
      </c>
      <c r="B21" s="14" t="s">
        <v>65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</row>
    <row r="22" spans="1:43">
      <c r="C22" s="3">
        <f>SUM(C15:C21)</f>
        <v>7</v>
      </c>
      <c r="D22" s="3">
        <f t="shared" ref="D22:AP22" si="4">SUM(D15:D21)</f>
        <v>7</v>
      </c>
      <c r="E22" s="3">
        <f t="shared" si="4"/>
        <v>7</v>
      </c>
      <c r="F22" s="3">
        <f t="shared" si="4"/>
        <v>7</v>
      </c>
      <c r="G22" s="3">
        <f t="shared" si="4"/>
        <v>7</v>
      </c>
      <c r="H22" s="3">
        <f t="shared" si="4"/>
        <v>7</v>
      </c>
      <c r="I22" s="3">
        <f t="shared" si="4"/>
        <v>7</v>
      </c>
      <c r="J22" s="3">
        <f t="shared" si="4"/>
        <v>7</v>
      </c>
      <c r="K22" s="3">
        <f t="shared" si="4"/>
        <v>7</v>
      </c>
      <c r="L22" s="3">
        <f t="shared" si="4"/>
        <v>7</v>
      </c>
      <c r="M22" s="3">
        <f t="shared" si="4"/>
        <v>7</v>
      </c>
      <c r="N22" s="3">
        <f t="shared" si="4"/>
        <v>7</v>
      </c>
      <c r="O22" s="3">
        <f t="shared" si="4"/>
        <v>7</v>
      </c>
      <c r="P22" s="3">
        <f t="shared" si="4"/>
        <v>7</v>
      </c>
      <c r="Q22" s="3">
        <f t="shared" si="4"/>
        <v>7</v>
      </c>
      <c r="R22" s="3">
        <f t="shared" si="4"/>
        <v>7</v>
      </c>
      <c r="S22" s="3">
        <f t="shared" si="4"/>
        <v>7</v>
      </c>
      <c r="T22" s="3">
        <f t="shared" si="4"/>
        <v>7</v>
      </c>
      <c r="U22" s="3">
        <f t="shared" si="4"/>
        <v>7</v>
      </c>
      <c r="V22" s="3">
        <f t="shared" si="4"/>
        <v>7</v>
      </c>
      <c r="W22" s="3">
        <f t="shared" si="4"/>
        <v>7</v>
      </c>
      <c r="X22" s="3">
        <f t="shared" si="4"/>
        <v>7</v>
      </c>
      <c r="Y22" s="3">
        <f t="shared" si="4"/>
        <v>7</v>
      </c>
      <c r="Z22" s="3">
        <f t="shared" si="4"/>
        <v>7</v>
      </c>
      <c r="AA22" s="3">
        <f t="shared" si="4"/>
        <v>7</v>
      </c>
      <c r="AB22" s="3">
        <f t="shared" si="4"/>
        <v>7</v>
      </c>
      <c r="AC22" s="3">
        <f t="shared" si="4"/>
        <v>7</v>
      </c>
      <c r="AD22" s="3">
        <f t="shared" si="4"/>
        <v>7</v>
      </c>
      <c r="AE22" s="3">
        <f t="shared" si="4"/>
        <v>7</v>
      </c>
      <c r="AF22" s="3">
        <f t="shared" si="4"/>
        <v>7</v>
      </c>
      <c r="AG22" s="3">
        <f t="shared" si="4"/>
        <v>7</v>
      </c>
      <c r="AH22" s="3">
        <f t="shared" si="4"/>
        <v>7</v>
      </c>
      <c r="AI22" s="3">
        <f t="shared" si="4"/>
        <v>7</v>
      </c>
      <c r="AJ22" s="3">
        <f t="shared" si="4"/>
        <v>7</v>
      </c>
      <c r="AK22" s="3">
        <f t="shared" si="4"/>
        <v>7</v>
      </c>
      <c r="AL22" s="3">
        <f t="shared" si="4"/>
        <v>7</v>
      </c>
      <c r="AM22" s="3">
        <f t="shared" si="4"/>
        <v>7</v>
      </c>
      <c r="AN22" s="3">
        <f t="shared" si="4"/>
        <v>7</v>
      </c>
      <c r="AO22" s="3">
        <f t="shared" si="4"/>
        <v>7</v>
      </c>
      <c r="AP22" s="3">
        <f t="shared" si="4"/>
        <v>7</v>
      </c>
      <c r="AQ22" s="7"/>
    </row>
    <row r="23" spans="1:43">
      <c r="B23" s="15" t="s">
        <v>20</v>
      </c>
      <c r="C23" s="3">
        <f>7-C22</f>
        <v>0</v>
      </c>
      <c r="D23" s="3">
        <f t="shared" ref="D23:N23" si="5">7-D22</f>
        <v>0</v>
      </c>
      <c r="E23" s="3">
        <f t="shared" si="5"/>
        <v>0</v>
      </c>
      <c r="F23" s="3">
        <f t="shared" si="5"/>
        <v>0</v>
      </c>
      <c r="G23" s="3">
        <f t="shared" si="5"/>
        <v>0</v>
      </c>
      <c r="H23" s="3">
        <f t="shared" si="5"/>
        <v>0</v>
      </c>
      <c r="I23" s="3">
        <f t="shared" si="5"/>
        <v>0</v>
      </c>
      <c r="J23" s="3">
        <f t="shared" si="5"/>
        <v>0</v>
      </c>
      <c r="K23" s="3">
        <f t="shared" si="5"/>
        <v>0</v>
      </c>
      <c r="L23" s="3">
        <f t="shared" si="5"/>
        <v>0</v>
      </c>
      <c r="M23" s="3">
        <f t="shared" si="5"/>
        <v>0</v>
      </c>
      <c r="N23" s="3">
        <f t="shared" si="5"/>
        <v>0</v>
      </c>
      <c r="O23" s="3">
        <f t="shared" ref="O23:R23" si="6">7-O22</f>
        <v>0</v>
      </c>
      <c r="P23" s="3">
        <f t="shared" si="6"/>
        <v>0</v>
      </c>
      <c r="Q23" s="3">
        <f t="shared" si="6"/>
        <v>0</v>
      </c>
      <c r="R23" s="3">
        <f t="shared" si="6"/>
        <v>0</v>
      </c>
      <c r="S23" s="3">
        <f t="shared" ref="S23:AK23" si="7">7-S22</f>
        <v>0</v>
      </c>
      <c r="T23" s="3">
        <f t="shared" si="7"/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3">
        <f t="shared" si="7"/>
        <v>0</v>
      </c>
      <c r="Y23" s="3">
        <f t="shared" si="7"/>
        <v>0</v>
      </c>
      <c r="Z23" s="3">
        <f t="shared" si="7"/>
        <v>0</v>
      </c>
      <c r="AA23" s="3">
        <f t="shared" si="7"/>
        <v>0</v>
      </c>
      <c r="AB23" s="3">
        <f t="shared" si="7"/>
        <v>0</v>
      </c>
      <c r="AC23" s="3">
        <f t="shared" si="7"/>
        <v>0</v>
      </c>
      <c r="AD23" s="3">
        <f t="shared" si="7"/>
        <v>0</v>
      </c>
      <c r="AE23" s="3">
        <f t="shared" si="7"/>
        <v>0</v>
      </c>
      <c r="AF23" s="3">
        <f t="shared" si="7"/>
        <v>0</v>
      </c>
      <c r="AG23" s="3">
        <f t="shared" si="7"/>
        <v>0</v>
      </c>
      <c r="AH23" s="3">
        <f t="shared" si="7"/>
        <v>0</v>
      </c>
      <c r="AI23" s="3">
        <f t="shared" si="7"/>
        <v>0</v>
      </c>
      <c r="AJ23" s="3">
        <f t="shared" si="7"/>
        <v>0</v>
      </c>
      <c r="AK23" s="3">
        <f t="shared" si="7"/>
        <v>0</v>
      </c>
      <c r="AL23" s="3">
        <f t="shared" ref="AL23:AP23" si="8">7-AL22</f>
        <v>0</v>
      </c>
      <c r="AM23" s="3">
        <f t="shared" si="8"/>
        <v>0</v>
      </c>
      <c r="AN23" s="3">
        <f t="shared" si="8"/>
        <v>0</v>
      </c>
      <c r="AO23" s="3">
        <f t="shared" si="8"/>
        <v>0</v>
      </c>
      <c r="AP23" s="3">
        <f t="shared" si="8"/>
        <v>0</v>
      </c>
      <c r="AQ23" s="8">
        <f>SUM(C23:AP23)</f>
        <v>0</v>
      </c>
    </row>
    <row r="25" spans="1:43" ht="21.6">
      <c r="A25" s="5" t="s">
        <v>66</v>
      </c>
    </row>
    <row r="26" spans="1:43">
      <c r="A26" s="25" t="s">
        <v>1</v>
      </c>
      <c r="B26" s="25"/>
      <c r="C26" s="3" t="s">
        <v>67</v>
      </c>
      <c r="D26" s="3" t="s">
        <v>68</v>
      </c>
      <c r="E26" s="3" t="s">
        <v>69</v>
      </c>
      <c r="F26" s="3" t="s">
        <v>70</v>
      </c>
      <c r="G26" s="3" t="s">
        <v>71</v>
      </c>
      <c r="H26" s="3" t="s">
        <v>72</v>
      </c>
      <c r="I26" s="3" t="s">
        <v>73</v>
      </c>
      <c r="J26" s="3" t="s">
        <v>74</v>
      </c>
      <c r="K26" s="3" t="s">
        <v>75</v>
      </c>
      <c r="L26" s="3" t="s">
        <v>76</v>
      </c>
      <c r="M26" s="3" t="s">
        <v>77</v>
      </c>
      <c r="N26" s="3" t="s">
        <v>78</v>
      </c>
      <c r="O26" s="3" t="s">
        <v>79</v>
      </c>
      <c r="P26" s="3" t="s">
        <v>80</v>
      </c>
    </row>
    <row r="27" spans="1:43">
      <c r="A27" s="3">
        <v>1</v>
      </c>
      <c r="B27" s="14" t="s">
        <v>81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</row>
    <row r="28" spans="1:43">
      <c r="A28" s="3">
        <v>2</v>
      </c>
      <c r="B28" s="14" t="s">
        <v>82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</row>
    <row r="29" spans="1:43" ht="36">
      <c r="A29" s="3">
        <v>3</v>
      </c>
      <c r="B29" s="14" t="s">
        <v>83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</row>
    <row r="30" spans="1:43" ht="36">
      <c r="A30" s="3">
        <v>4</v>
      </c>
      <c r="B30" s="14" t="s">
        <v>84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</row>
    <row r="31" spans="1:43" ht="36">
      <c r="A31" s="3">
        <v>5</v>
      </c>
      <c r="B31" s="14" t="s">
        <v>85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</row>
    <row r="32" spans="1:43" ht="36">
      <c r="A32" s="3">
        <v>6</v>
      </c>
      <c r="B32" s="14" t="s">
        <v>86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</row>
    <row r="33" spans="1:17">
      <c r="A33" s="3">
        <v>7</v>
      </c>
      <c r="B33" s="14" t="s">
        <v>87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</row>
    <row r="34" spans="1:17">
      <c r="A34" s="3">
        <v>8</v>
      </c>
      <c r="B34" s="14" t="s">
        <v>88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</row>
    <row r="35" spans="1:17">
      <c r="A35" s="3">
        <v>9</v>
      </c>
      <c r="B35" s="14" t="s">
        <v>89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</row>
    <row r="36" spans="1:17">
      <c r="A36" s="3">
        <v>10</v>
      </c>
      <c r="B36" s="14" t="s">
        <v>90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</row>
    <row r="37" spans="1:17" ht="36">
      <c r="A37" s="3">
        <v>11</v>
      </c>
      <c r="B37" s="14" t="s">
        <v>91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7">
      <c r="C38" s="3">
        <f>SUM(C27:C36)</f>
        <v>10</v>
      </c>
      <c r="D38" s="3">
        <f t="shared" ref="D38:P38" si="9">SUM(D27:D36)</f>
        <v>10</v>
      </c>
      <c r="E38" s="3">
        <f t="shared" si="9"/>
        <v>10</v>
      </c>
      <c r="F38" s="3">
        <f t="shared" si="9"/>
        <v>10</v>
      </c>
      <c r="G38" s="3">
        <f t="shared" si="9"/>
        <v>10</v>
      </c>
      <c r="H38" s="3">
        <f t="shared" si="9"/>
        <v>10</v>
      </c>
      <c r="I38" s="3">
        <f t="shared" si="9"/>
        <v>10</v>
      </c>
      <c r="J38" s="3">
        <f t="shared" si="9"/>
        <v>10</v>
      </c>
      <c r="K38" s="3">
        <f t="shared" si="9"/>
        <v>10</v>
      </c>
      <c r="L38" s="3">
        <f t="shared" si="9"/>
        <v>10</v>
      </c>
      <c r="M38" s="3">
        <f t="shared" si="9"/>
        <v>10</v>
      </c>
      <c r="N38" s="3">
        <f t="shared" si="9"/>
        <v>10</v>
      </c>
      <c r="O38" s="3">
        <f t="shared" si="9"/>
        <v>10</v>
      </c>
      <c r="P38" s="3">
        <f t="shared" si="9"/>
        <v>10</v>
      </c>
      <c r="Q38" s="7"/>
    </row>
    <row r="39" spans="1:17">
      <c r="B39" s="15" t="s">
        <v>20</v>
      </c>
      <c r="C39" s="3">
        <f>10-C38</f>
        <v>0</v>
      </c>
      <c r="D39" s="3">
        <f t="shared" ref="D39:P39" si="10">10-D38</f>
        <v>0</v>
      </c>
      <c r="E39" s="3">
        <f t="shared" si="10"/>
        <v>0</v>
      </c>
      <c r="F39" s="3">
        <f t="shared" si="10"/>
        <v>0</v>
      </c>
      <c r="G39" s="3">
        <f t="shared" si="10"/>
        <v>0</v>
      </c>
      <c r="H39" s="3">
        <f t="shared" si="10"/>
        <v>0</v>
      </c>
      <c r="I39" s="3">
        <f t="shared" si="10"/>
        <v>0</v>
      </c>
      <c r="J39" s="3">
        <f t="shared" si="10"/>
        <v>0</v>
      </c>
      <c r="K39" s="3">
        <f t="shared" si="10"/>
        <v>0</v>
      </c>
      <c r="L39" s="3">
        <f t="shared" si="10"/>
        <v>0</v>
      </c>
      <c r="M39" s="3">
        <f t="shared" si="10"/>
        <v>0</v>
      </c>
      <c r="N39" s="3">
        <f t="shared" si="10"/>
        <v>0</v>
      </c>
      <c r="O39" s="3">
        <f t="shared" si="10"/>
        <v>0</v>
      </c>
      <c r="P39" s="3">
        <f t="shared" si="10"/>
        <v>0</v>
      </c>
      <c r="Q39" s="8">
        <f>SUM(C39:P39)</f>
        <v>0</v>
      </c>
    </row>
    <row r="41" spans="1:17" ht="21.6">
      <c r="A41" s="5" t="s">
        <v>92</v>
      </c>
    </row>
    <row r="42" spans="1:17">
      <c r="A42" s="25" t="s">
        <v>1</v>
      </c>
      <c r="B42" s="25"/>
      <c r="C42" s="3" t="s">
        <v>93</v>
      </c>
      <c r="D42" s="3" t="s">
        <v>94</v>
      </c>
      <c r="E42" s="3" t="s">
        <v>95</v>
      </c>
      <c r="F42" s="3" t="s">
        <v>96</v>
      </c>
      <c r="G42" s="3" t="s">
        <v>97</v>
      </c>
      <c r="H42" s="3" t="s">
        <v>98</v>
      </c>
      <c r="I42" s="3" t="s">
        <v>99</v>
      </c>
      <c r="J42" s="3" t="s">
        <v>100</v>
      </c>
      <c r="K42" s="3" t="s">
        <v>101</v>
      </c>
      <c r="L42" s="3" t="s">
        <v>102</v>
      </c>
      <c r="M42" s="3" t="s">
        <v>103</v>
      </c>
    </row>
    <row r="43" spans="1:17">
      <c r="A43" s="3">
        <v>1</v>
      </c>
      <c r="B43" s="14" t="s">
        <v>104</v>
      </c>
      <c r="C43" s="3">
        <v>1</v>
      </c>
      <c r="D43" s="3">
        <v>1</v>
      </c>
      <c r="E43" s="3">
        <v>1</v>
      </c>
      <c r="F43" s="3">
        <v>1</v>
      </c>
      <c r="G43" s="22" t="s">
        <v>14</v>
      </c>
      <c r="H43" s="22" t="s">
        <v>14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</row>
    <row r="44" spans="1:17">
      <c r="A44" s="3">
        <v>2</v>
      </c>
      <c r="B44" s="14" t="s">
        <v>105</v>
      </c>
      <c r="C44" s="3">
        <v>1</v>
      </c>
      <c r="D44" s="3">
        <v>1</v>
      </c>
      <c r="E44" s="3">
        <v>1</v>
      </c>
      <c r="F44" s="3">
        <v>1</v>
      </c>
      <c r="G44" s="23"/>
      <c r="H44" s="23"/>
      <c r="I44" s="3">
        <v>1</v>
      </c>
      <c r="J44" s="3">
        <v>1</v>
      </c>
      <c r="K44" s="3">
        <v>1</v>
      </c>
      <c r="L44" s="3">
        <v>1</v>
      </c>
      <c r="M44" s="3">
        <v>1</v>
      </c>
    </row>
    <row r="45" spans="1:17">
      <c r="A45" s="3">
        <v>3</v>
      </c>
      <c r="B45" s="14" t="s">
        <v>106</v>
      </c>
      <c r="C45" s="3">
        <v>1</v>
      </c>
      <c r="D45" s="3">
        <v>1</v>
      </c>
      <c r="E45" s="3">
        <v>1</v>
      </c>
      <c r="F45" s="3">
        <v>1</v>
      </c>
      <c r="G45" s="23"/>
      <c r="H45" s="23"/>
      <c r="I45" s="3">
        <v>1</v>
      </c>
      <c r="J45" s="3">
        <v>1</v>
      </c>
      <c r="K45" s="3">
        <v>1</v>
      </c>
      <c r="L45" s="3">
        <v>1</v>
      </c>
      <c r="M45" s="3">
        <v>1</v>
      </c>
    </row>
    <row r="46" spans="1:17" ht="36">
      <c r="A46" s="3">
        <v>4</v>
      </c>
      <c r="B46" s="14" t="s">
        <v>107</v>
      </c>
      <c r="C46" s="3">
        <v>1</v>
      </c>
      <c r="D46" s="3">
        <v>1</v>
      </c>
      <c r="E46" s="3">
        <v>1</v>
      </c>
      <c r="F46" s="3">
        <v>1</v>
      </c>
      <c r="G46" s="23"/>
      <c r="H46" s="23"/>
      <c r="I46" s="3">
        <v>1</v>
      </c>
      <c r="J46" s="3">
        <v>1</v>
      </c>
      <c r="K46" s="3">
        <v>1</v>
      </c>
      <c r="L46" s="3">
        <v>1</v>
      </c>
      <c r="M46" s="3">
        <v>1</v>
      </c>
    </row>
    <row r="47" spans="1:17">
      <c r="A47" s="3">
        <v>5</v>
      </c>
      <c r="B47" s="14" t="s">
        <v>108</v>
      </c>
      <c r="C47" s="3">
        <v>1</v>
      </c>
      <c r="D47" s="3">
        <v>1</v>
      </c>
      <c r="E47" s="3">
        <v>1</v>
      </c>
      <c r="F47" s="3">
        <v>1</v>
      </c>
      <c r="G47" s="23"/>
      <c r="H47" s="23"/>
      <c r="I47" s="3">
        <v>1</v>
      </c>
      <c r="J47" s="3">
        <v>1</v>
      </c>
      <c r="K47" s="3">
        <v>1</v>
      </c>
      <c r="L47" s="3">
        <v>1</v>
      </c>
      <c r="M47" s="3">
        <v>1</v>
      </c>
    </row>
    <row r="48" spans="1:17">
      <c r="A48" s="3">
        <v>6</v>
      </c>
      <c r="B48" s="14" t="s">
        <v>109</v>
      </c>
      <c r="C48" s="3"/>
      <c r="D48" s="3"/>
      <c r="E48" s="3"/>
      <c r="F48" s="3"/>
      <c r="G48" s="24"/>
      <c r="H48" s="24"/>
      <c r="I48" s="3"/>
      <c r="J48" s="3"/>
      <c r="K48" s="3"/>
      <c r="L48" s="3"/>
      <c r="M48" s="3"/>
    </row>
    <row r="49" spans="1:15">
      <c r="C49" s="3">
        <f>SUM(C43:C48)</f>
        <v>5</v>
      </c>
      <c r="D49" s="3">
        <f t="shared" ref="D49:M49" si="11">SUM(D43:D48)</f>
        <v>5</v>
      </c>
      <c r="E49" s="3">
        <f t="shared" si="11"/>
        <v>5</v>
      </c>
      <c r="F49" s="3">
        <f t="shared" si="11"/>
        <v>5</v>
      </c>
      <c r="G49" s="3">
        <f t="shared" si="11"/>
        <v>0</v>
      </c>
      <c r="H49" s="3">
        <f>SUM(H43:H48)</f>
        <v>0</v>
      </c>
      <c r="I49" s="3">
        <f t="shared" si="11"/>
        <v>5</v>
      </c>
      <c r="J49" s="3">
        <f t="shared" si="11"/>
        <v>5</v>
      </c>
      <c r="K49" s="3">
        <f t="shared" si="11"/>
        <v>5</v>
      </c>
      <c r="L49" s="3">
        <f t="shared" si="11"/>
        <v>5</v>
      </c>
      <c r="M49" s="3">
        <f t="shared" si="11"/>
        <v>5</v>
      </c>
      <c r="N49" s="11"/>
    </row>
    <row r="50" spans="1:15">
      <c r="B50" s="15" t="s">
        <v>20</v>
      </c>
      <c r="C50" s="3">
        <f>5-C49</f>
        <v>0</v>
      </c>
      <c r="D50" s="3">
        <f t="shared" ref="D50:M50" si="12">5-D49</f>
        <v>0</v>
      </c>
      <c r="E50" s="3">
        <f t="shared" si="12"/>
        <v>0</v>
      </c>
      <c r="F50" s="3">
        <f t="shared" si="12"/>
        <v>0</v>
      </c>
      <c r="G50" s="3">
        <v>0</v>
      </c>
      <c r="H50" s="3">
        <v>0</v>
      </c>
      <c r="I50" s="3">
        <f t="shared" si="12"/>
        <v>0</v>
      </c>
      <c r="J50" s="3">
        <f t="shared" si="12"/>
        <v>0</v>
      </c>
      <c r="K50" s="3">
        <f t="shared" si="12"/>
        <v>0</v>
      </c>
      <c r="L50" s="3">
        <f t="shared" si="12"/>
        <v>0</v>
      </c>
      <c r="M50" s="3">
        <f t="shared" si="12"/>
        <v>0</v>
      </c>
      <c r="N50" s="12">
        <f>SUM(C50:M50)</f>
        <v>0</v>
      </c>
    </row>
    <row r="52" spans="1:15" ht="21.6">
      <c r="A52" s="5" t="s">
        <v>110</v>
      </c>
    </row>
    <row r="53" spans="1:15">
      <c r="A53" s="25" t="s">
        <v>1</v>
      </c>
      <c r="B53" s="25"/>
      <c r="C53" s="3" t="s">
        <v>111</v>
      </c>
      <c r="D53" s="3" t="s">
        <v>112</v>
      </c>
      <c r="E53" s="3" t="s">
        <v>113</v>
      </c>
      <c r="F53" s="3" t="s">
        <v>114</v>
      </c>
      <c r="G53" s="3" t="s">
        <v>115</v>
      </c>
      <c r="H53" s="3" t="s">
        <v>116</v>
      </c>
      <c r="I53" s="3" t="s">
        <v>117</v>
      </c>
      <c r="J53" s="3" t="s">
        <v>118</v>
      </c>
      <c r="K53" s="3" t="s">
        <v>119</v>
      </c>
      <c r="L53" s="3" t="s">
        <v>120</v>
      </c>
      <c r="M53" s="3" t="s">
        <v>121</v>
      </c>
      <c r="N53" s="3" t="s">
        <v>122</v>
      </c>
    </row>
    <row r="54" spans="1:15" ht="68.45" customHeight="1">
      <c r="A54" s="3">
        <v>1</v>
      </c>
      <c r="B54" s="14" t="s">
        <v>123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5" ht="40.35" customHeight="1">
      <c r="A55" s="3">
        <v>2</v>
      </c>
      <c r="B55" s="14" t="s">
        <v>124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5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7"/>
    </row>
    <row r="57" spans="1:15">
      <c r="B57" s="15" t="s">
        <v>20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8">
        <f>SUM(C57:N57)</f>
        <v>0</v>
      </c>
    </row>
    <row r="59" spans="1:15" ht="21.6">
      <c r="A59" s="5" t="s">
        <v>125</v>
      </c>
    </row>
    <row r="60" spans="1:15">
      <c r="A60" s="25" t="s">
        <v>1</v>
      </c>
      <c r="B60" s="25"/>
      <c r="C60" s="3" t="s">
        <v>126</v>
      </c>
      <c r="D60" s="3" t="s">
        <v>126</v>
      </c>
      <c r="E60" s="3" t="s">
        <v>126</v>
      </c>
      <c r="F60" s="3" t="s">
        <v>126</v>
      </c>
      <c r="G60" s="3" t="s">
        <v>126</v>
      </c>
    </row>
    <row r="61" spans="1:15" ht="45" customHeight="1">
      <c r="A61" s="3">
        <v>1</v>
      </c>
      <c r="B61" s="14" t="s">
        <v>127</v>
      </c>
      <c r="C61" s="9"/>
      <c r="D61" s="9"/>
      <c r="E61" s="9"/>
      <c r="F61" s="9"/>
      <c r="G61" s="9"/>
    </row>
    <row r="62" spans="1:15">
      <c r="C62" s="3"/>
      <c r="D62" s="3"/>
      <c r="E62" s="3"/>
      <c r="F62" s="3"/>
      <c r="G62" s="3"/>
      <c r="H62" s="11"/>
    </row>
    <row r="63" spans="1:15">
      <c r="B63" s="15" t="s">
        <v>20</v>
      </c>
      <c r="C63" s="3"/>
      <c r="D63" s="3"/>
      <c r="E63" s="3"/>
      <c r="F63" s="3"/>
      <c r="G63" s="3"/>
      <c r="H63" s="12">
        <f>SUM(C63:G63)</f>
        <v>0</v>
      </c>
      <c r="N63" s="13"/>
    </row>
    <row r="65" spans="1:14" ht="21.6">
      <c r="A65" s="5" t="s">
        <v>128</v>
      </c>
    </row>
    <row r="66" spans="1:14">
      <c r="A66" s="25" t="s">
        <v>1</v>
      </c>
      <c r="B66" s="25"/>
      <c r="C66" s="3" t="s">
        <v>129</v>
      </c>
      <c r="D66" s="3" t="s">
        <v>130</v>
      </c>
      <c r="E66" s="3" t="s">
        <v>131</v>
      </c>
    </row>
    <row r="67" spans="1:14" ht="36">
      <c r="A67" s="3">
        <v>1</v>
      </c>
      <c r="B67" s="14" t="s">
        <v>132</v>
      </c>
      <c r="C67" s="3">
        <v>1</v>
      </c>
      <c r="D67" s="3">
        <v>1</v>
      </c>
      <c r="E67" s="3">
        <v>1</v>
      </c>
    </row>
    <row r="68" spans="1:14" ht="40.35" customHeight="1">
      <c r="A68" s="3">
        <v>2</v>
      </c>
      <c r="B68" s="14" t="s">
        <v>133</v>
      </c>
      <c r="C68" s="3">
        <v>1</v>
      </c>
      <c r="D68" s="3">
        <v>1</v>
      </c>
      <c r="E68" s="3">
        <v>1</v>
      </c>
    </row>
    <row r="69" spans="1:14">
      <c r="A69" s="3">
        <v>3</v>
      </c>
      <c r="B69" s="14" t="s">
        <v>134</v>
      </c>
      <c r="C69" s="3">
        <v>1</v>
      </c>
      <c r="D69" s="3">
        <v>1</v>
      </c>
      <c r="E69" s="3">
        <v>1</v>
      </c>
    </row>
    <row r="70" spans="1:14">
      <c r="C70" s="3">
        <f>SUM(C67:C69)</f>
        <v>3</v>
      </c>
      <c r="D70" s="3">
        <f t="shared" ref="D70:E70" si="13">SUM(D67:D69)</f>
        <v>3</v>
      </c>
      <c r="E70" s="3">
        <f t="shared" si="13"/>
        <v>3</v>
      </c>
      <c r="F70" s="11"/>
    </row>
    <row r="71" spans="1:14">
      <c r="B71" s="15" t="s">
        <v>20</v>
      </c>
      <c r="C71" s="3">
        <f>3-C70</f>
        <v>0</v>
      </c>
      <c r="D71" s="3">
        <f t="shared" ref="D71:E71" si="14">3-D70</f>
        <v>0</v>
      </c>
      <c r="E71" s="3">
        <f t="shared" si="14"/>
        <v>0</v>
      </c>
      <c r="F71" s="12">
        <f>SUM(C71:E71)</f>
        <v>0</v>
      </c>
    </row>
    <row r="73" spans="1:14" ht="21.6">
      <c r="A73" s="5" t="s">
        <v>135</v>
      </c>
    </row>
    <row r="74" spans="1:14">
      <c r="A74" s="25" t="s">
        <v>1</v>
      </c>
      <c r="B74" s="25"/>
      <c r="C74" s="3" t="s">
        <v>136</v>
      </c>
      <c r="D74" s="3" t="s">
        <v>137</v>
      </c>
      <c r="E74" s="3" t="s">
        <v>138</v>
      </c>
      <c r="F74" s="3" t="s">
        <v>139</v>
      </c>
      <c r="G74" s="3" t="s">
        <v>140</v>
      </c>
      <c r="H74" s="3" t="s">
        <v>141</v>
      </c>
      <c r="I74" s="3" t="s">
        <v>142</v>
      </c>
      <c r="J74" s="3" t="s">
        <v>143</v>
      </c>
      <c r="K74" s="3" t="s">
        <v>144</v>
      </c>
      <c r="L74" s="3" t="s">
        <v>145</v>
      </c>
      <c r="M74" s="3" t="s">
        <v>146</v>
      </c>
      <c r="N74" s="3" t="s">
        <v>147</v>
      </c>
    </row>
    <row r="75" spans="1:14" ht="36">
      <c r="A75" s="3">
        <v>1</v>
      </c>
      <c r="B75" s="14" t="s">
        <v>148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>
      <c r="A76" s="3">
        <v>2</v>
      </c>
      <c r="B76" s="14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ht="36">
      <c r="A77" s="3">
        <v>3</v>
      </c>
      <c r="B77" s="14" t="s">
        <v>150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>
      <c r="A78" s="3">
        <v>4</v>
      </c>
      <c r="B78" s="14" t="s">
        <v>151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>
      <c r="A79" s="3">
        <v>5</v>
      </c>
      <c r="B79" s="14" t="s">
        <v>152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ht="36">
      <c r="A80" s="3">
        <v>6</v>
      </c>
      <c r="B80" s="14" t="s">
        <v>153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5">
      <c r="A81" s="3">
        <v>7</v>
      </c>
      <c r="B81" s="14" t="s">
        <v>154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5">
      <c r="A82" s="3">
        <v>8</v>
      </c>
      <c r="B82" s="14" t="s">
        <v>155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7"/>
    </row>
    <row r="84" spans="1:15">
      <c r="B84" s="15" t="s">
        <v>20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8">
        <f>SUM(C84:N84)</f>
        <v>0</v>
      </c>
    </row>
    <row r="86" spans="1:15" ht="21.6">
      <c r="A86" s="5" t="s">
        <v>156</v>
      </c>
    </row>
    <row r="87" spans="1:15">
      <c r="A87" s="25" t="s">
        <v>1</v>
      </c>
      <c r="B87" s="25"/>
      <c r="C87" s="3" t="s">
        <v>157</v>
      </c>
      <c r="D87" s="3" t="s">
        <v>158</v>
      </c>
      <c r="E87" s="3" t="s">
        <v>159</v>
      </c>
    </row>
    <row r="88" spans="1:15" ht="36">
      <c r="A88" s="3">
        <v>1</v>
      </c>
      <c r="B88" s="14" t="s">
        <v>160</v>
      </c>
      <c r="C88" s="3">
        <v>1</v>
      </c>
      <c r="D88" s="3">
        <v>1</v>
      </c>
      <c r="E88" s="3">
        <v>1</v>
      </c>
    </row>
    <row r="89" spans="1:15">
      <c r="A89" s="3">
        <v>2</v>
      </c>
      <c r="B89" s="14" t="s">
        <v>161</v>
      </c>
      <c r="C89" s="3">
        <v>1</v>
      </c>
      <c r="D89" s="3">
        <v>1</v>
      </c>
      <c r="E89" s="3">
        <v>1</v>
      </c>
    </row>
    <row r="90" spans="1:15">
      <c r="A90" s="3">
        <v>3</v>
      </c>
      <c r="B90" s="14" t="s">
        <v>162</v>
      </c>
      <c r="C90" s="3">
        <v>1</v>
      </c>
      <c r="D90" s="3">
        <v>1</v>
      </c>
      <c r="E90" s="3">
        <v>1</v>
      </c>
    </row>
    <row r="91" spans="1:15">
      <c r="A91" s="3">
        <v>4</v>
      </c>
      <c r="B91" s="14" t="s">
        <v>163</v>
      </c>
      <c r="C91" s="3">
        <v>1</v>
      </c>
      <c r="D91" s="3">
        <v>1</v>
      </c>
      <c r="E91" s="3">
        <v>1</v>
      </c>
    </row>
    <row r="92" spans="1:15">
      <c r="C92" s="3">
        <f>SUM(C88:C91)</f>
        <v>4</v>
      </c>
      <c r="D92" s="3">
        <f t="shared" ref="D92" si="15">SUM(D88:D91)</f>
        <v>4</v>
      </c>
      <c r="E92" s="3">
        <f t="shared" ref="E92" si="16">SUM(E88:E91)</f>
        <v>4</v>
      </c>
      <c r="F92" s="11"/>
    </row>
    <row r="93" spans="1:15">
      <c r="B93" s="15" t="s">
        <v>20</v>
      </c>
      <c r="C93" s="3">
        <f>4-C92</f>
        <v>0</v>
      </c>
      <c r="D93" s="3">
        <f t="shared" ref="D93" si="17">4-D92</f>
        <v>0</v>
      </c>
      <c r="E93" s="3">
        <f t="shared" ref="E93" si="18">4-E92</f>
        <v>0</v>
      </c>
      <c r="F93" s="12">
        <f>SUM(C93:E93)</f>
        <v>0</v>
      </c>
    </row>
    <row r="95" spans="1:15" ht="21.6">
      <c r="A95" s="5" t="s">
        <v>164</v>
      </c>
    </row>
    <row r="96" spans="1:15">
      <c r="A96" s="25" t="s">
        <v>1</v>
      </c>
      <c r="B96" s="25"/>
      <c r="C96" s="3" t="s">
        <v>165</v>
      </c>
      <c r="D96" s="3" t="s">
        <v>166</v>
      </c>
      <c r="E96" s="3" t="s">
        <v>167</v>
      </c>
      <c r="F96" s="3" t="s">
        <v>168</v>
      </c>
      <c r="G96" s="3" t="s">
        <v>169</v>
      </c>
      <c r="H96" s="3" t="s">
        <v>170</v>
      </c>
      <c r="I96" s="3" t="s">
        <v>171</v>
      </c>
      <c r="J96" s="3" t="s">
        <v>172</v>
      </c>
      <c r="K96" s="3" t="s">
        <v>173</v>
      </c>
      <c r="L96" s="3" t="s">
        <v>174</v>
      </c>
      <c r="M96" s="3" t="s">
        <v>175</v>
      </c>
      <c r="N96" s="3" t="s">
        <v>176</v>
      </c>
    </row>
    <row r="97" spans="1:15" ht="44.45" customHeight="1">
      <c r="A97" s="3">
        <v>1</v>
      </c>
      <c r="B97" s="14" t="s">
        <v>123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5" ht="32.1" customHeight="1">
      <c r="A98" s="3">
        <v>2</v>
      </c>
      <c r="B98" s="14" t="s">
        <v>124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7"/>
    </row>
    <row r="100" spans="1:15">
      <c r="B100" s="15" t="s">
        <v>20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8">
        <f>SUM(C100:N100)</f>
        <v>0</v>
      </c>
    </row>
    <row r="102" spans="1:15" ht="21.6">
      <c r="A102" s="5" t="s">
        <v>177</v>
      </c>
    </row>
    <row r="103" spans="1:15">
      <c r="A103" s="25" t="s">
        <v>1</v>
      </c>
      <c r="B103" s="25"/>
      <c r="C103" s="3" t="s">
        <v>178</v>
      </c>
      <c r="D103" s="3" t="s">
        <v>179</v>
      </c>
      <c r="E103" s="3" t="s">
        <v>180</v>
      </c>
      <c r="F103" s="3" t="s">
        <v>181</v>
      </c>
      <c r="M103" s="1"/>
      <c r="N103" s="1"/>
    </row>
    <row r="104" spans="1:15">
      <c r="A104" s="3">
        <v>1</v>
      </c>
      <c r="B104" s="14" t="s">
        <v>182</v>
      </c>
      <c r="C104" s="3">
        <v>1</v>
      </c>
      <c r="D104" s="3">
        <v>1</v>
      </c>
      <c r="E104" s="3">
        <v>1</v>
      </c>
      <c r="F104" s="3">
        <v>1</v>
      </c>
      <c r="M104" s="1"/>
      <c r="N104" s="1"/>
    </row>
    <row r="105" spans="1:15">
      <c r="A105" s="3">
        <v>2</v>
      </c>
      <c r="B105" s="14" t="s">
        <v>183</v>
      </c>
      <c r="C105" s="3">
        <v>1</v>
      </c>
      <c r="D105" s="3">
        <v>1</v>
      </c>
      <c r="E105" s="3">
        <v>1</v>
      </c>
      <c r="F105" s="3">
        <v>1</v>
      </c>
      <c r="M105" s="1"/>
      <c r="N105" s="1"/>
    </row>
    <row r="106" spans="1:15">
      <c r="A106" s="3">
        <v>3</v>
      </c>
      <c r="B106" s="14" t="s">
        <v>88</v>
      </c>
      <c r="C106" s="3">
        <v>1</v>
      </c>
      <c r="D106" s="3">
        <v>1</v>
      </c>
      <c r="E106" s="3">
        <v>1</v>
      </c>
      <c r="F106" s="3">
        <v>1</v>
      </c>
      <c r="M106" s="1"/>
      <c r="N106" s="1"/>
    </row>
    <row r="107" spans="1:15">
      <c r="A107" s="3">
        <v>4</v>
      </c>
      <c r="B107" s="14" t="s">
        <v>89</v>
      </c>
      <c r="C107" s="3">
        <v>1</v>
      </c>
      <c r="D107" s="3">
        <v>1</v>
      </c>
      <c r="E107" s="3">
        <v>1</v>
      </c>
      <c r="F107" s="3">
        <v>1</v>
      </c>
      <c r="M107" s="1"/>
      <c r="N107" s="1"/>
    </row>
    <row r="108" spans="1:15">
      <c r="A108" s="3">
        <v>5</v>
      </c>
      <c r="B108" s="14" t="s">
        <v>184</v>
      </c>
      <c r="C108" s="3">
        <v>1</v>
      </c>
      <c r="D108" s="3">
        <v>1</v>
      </c>
      <c r="E108" s="3">
        <v>1</v>
      </c>
      <c r="F108" s="3">
        <v>1</v>
      </c>
      <c r="M108" s="1"/>
      <c r="N108" s="1"/>
    </row>
    <row r="109" spans="1:15" ht="36">
      <c r="A109" s="3">
        <v>6</v>
      </c>
      <c r="B109" s="14" t="s">
        <v>91</v>
      </c>
      <c r="C109" s="3">
        <v>1</v>
      </c>
      <c r="D109" s="3">
        <v>1</v>
      </c>
      <c r="E109" s="3">
        <v>1</v>
      </c>
      <c r="F109" s="3">
        <v>1</v>
      </c>
      <c r="M109" s="1"/>
      <c r="N109" s="1"/>
    </row>
    <row r="110" spans="1:15">
      <c r="A110" s="3">
        <v>7</v>
      </c>
      <c r="B110" s="14" t="s">
        <v>185</v>
      </c>
      <c r="C110" s="3">
        <v>1</v>
      </c>
      <c r="D110" s="3">
        <v>1</v>
      </c>
      <c r="E110" s="3">
        <v>1</v>
      </c>
      <c r="F110" s="3">
        <v>1</v>
      </c>
      <c r="M110" s="1"/>
      <c r="N110" s="1"/>
    </row>
    <row r="111" spans="1:15">
      <c r="C111" s="3">
        <f>SUM(C104:C110)</f>
        <v>7</v>
      </c>
      <c r="D111" s="3">
        <f t="shared" ref="D111:F111" si="19">SUM(D104:D110)</f>
        <v>7</v>
      </c>
      <c r="E111" s="3">
        <f>SUM(E104:E110)</f>
        <v>7</v>
      </c>
      <c r="F111" s="3">
        <f t="shared" si="19"/>
        <v>7</v>
      </c>
      <c r="G111" s="11"/>
      <c r="M111" s="1"/>
      <c r="N111" s="1"/>
    </row>
    <row r="112" spans="1:15">
      <c r="B112" s="15" t="s">
        <v>20</v>
      </c>
      <c r="C112" s="3">
        <f>7-C111</f>
        <v>0</v>
      </c>
      <c r="D112" s="3">
        <f t="shared" ref="D112:F112" si="20">7-D111</f>
        <v>0</v>
      </c>
      <c r="E112" s="3">
        <f>7-E111</f>
        <v>0</v>
      </c>
      <c r="F112" s="3">
        <f t="shared" si="20"/>
        <v>0</v>
      </c>
      <c r="G112" s="12">
        <f>SUM(C112:F112)</f>
        <v>0</v>
      </c>
      <c r="M112" s="1"/>
      <c r="N112" s="1"/>
    </row>
    <row r="114" spans="1:58" ht="21.6">
      <c r="A114" s="5" t="s">
        <v>186</v>
      </c>
    </row>
    <row r="115" spans="1:58">
      <c r="A115" s="25" t="s">
        <v>1</v>
      </c>
      <c r="B115" s="25"/>
      <c r="C115" s="3" t="s">
        <v>187</v>
      </c>
      <c r="D115" s="3" t="s">
        <v>188</v>
      </c>
      <c r="E115" s="3" t="s">
        <v>189</v>
      </c>
      <c r="F115" s="3" t="s">
        <v>190</v>
      </c>
      <c r="G115" s="3" t="s">
        <v>191</v>
      </c>
      <c r="H115" s="3" t="s">
        <v>192</v>
      </c>
      <c r="I115" s="3" t="s">
        <v>193</v>
      </c>
      <c r="J115" s="3" t="s">
        <v>194</v>
      </c>
      <c r="K115" s="3" t="s">
        <v>195</v>
      </c>
      <c r="L115" s="3" t="s">
        <v>196</v>
      </c>
      <c r="M115" s="3" t="s">
        <v>197</v>
      </c>
      <c r="N115" s="3" t="s">
        <v>198</v>
      </c>
      <c r="O115" s="3" t="s">
        <v>199</v>
      </c>
      <c r="P115" s="3" t="s">
        <v>200</v>
      </c>
      <c r="Q115" s="3" t="s">
        <v>201</v>
      </c>
      <c r="R115" s="3" t="s">
        <v>202</v>
      </c>
      <c r="S115" s="3" t="s">
        <v>203</v>
      </c>
      <c r="T115" s="3" t="s">
        <v>204</v>
      </c>
      <c r="U115" s="3" t="s">
        <v>205</v>
      </c>
      <c r="V115" s="3" t="s">
        <v>206</v>
      </c>
      <c r="W115" s="3" t="s">
        <v>207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</row>
    <row r="116" spans="1:58">
      <c r="A116" s="3">
        <v>1</v>
      </c>
      <c r="B116" s="14" t="s">
        <v>208</v>
      </c>
      <c r="C116" s="3">
        <v>1</v>
      </c>
      <c r="D116" s="3">
        <v>1</v>
      </c>
      <c r="E116" s="3">
        <v>1</v>
      </c>
      <c r="F116" s="3">
        <v>1</v>
      </c>
      <c r="G116" s="3">
        <v>1</v>
      </c>
      <c r="H116" s="3">
        <v>0</v>
      </c>
      <c r="I116" s="3">
        <v>1</v>
      </c>
      <c r="J116" s="3">
        <v>0</v>
      </c>
      <c r="K116" s="3">
        <v>1</v>
      </c>
      <c r="L116" s="3">
        <v>0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</row>
    <row r="117" spans="1:58">
      <c r="C117" s="3">
        <f>SUM(C116)</f>
        <v>1</v>
      </c>
      <c r="D117" s="3">
        <f t="shared" ref="D117:L117" si="21">SUM(D116)</f>
        <v>1</v>
      </c>
      <c r="E117" s="3">
        <f t="shared" si="21"/>
        <v>1</v>
      </c>
      <c r="F117" s="3">
        <f t="shared" si="21"/>
        <v>1</v>
      </c>
      <c r="G117" s="3">
        <f t="shared" si="21"/>
        <v>1</v>
      </c>
      <c r="H117" s="3">
        <f t="shared" si="21"/>
        <v>0</v>
      </c>
      <c r="I117" s="3">
        <f t="shared" si="21"/>
        <v>1</v>
      </c>
      <c r="J117" s="3">
        <f t="shared" si="21"/>
        <v>0</v>
      </c>
      <c r="K117" s="3">
        <f t="shared" si="21"/>
        <v>1</v>
      </c>
      <c r="L117" s="3">
        <f t="shared" si="21"/>
        <v>0</v>
      </c>
      <c r="M117" s="3">
        <f t="shared" ref="M117:W117" si="22">SUM(M116)</f>
        <v>1</v>
      </c>
      <c r="N117" s="3">
        <f t="shared" si="22"/>
        <v>1</v>
      </c>
      <c r="O117" s="3">
        <f t="shared" si="22"/>
        <v>1</v>
      </c>
      <c r="P117" s="3">
        <f t="shared" si="22"/>
        <v>1</v>
      </c>
      <c r="Q117" s="3">
        <f t="shared" si="22"/>
        <v>1</v>
      </c>
      <c r="R117" s="3">
        <f t="shared" si="22"/>
        <v>1</v>
      </c>
      <c r="S117" s="3">
        <f t="shared" si="22"/>
        <v>1</v>
      </c>
      <c r="T117" s="3">
        <f t="shared" si="22"/>
        <v>1</v>
      </c>
      <c r="U117" s="3">
        <f t="shared" si="22"/>
        <v>1</v>
      </c>
      <c r="V117" s="3">
        <f t="shared" si="22"/>
        <v>1</v>
      </c>
      <c r="W117" s="3">
        <f t="shared" si="22"/>
        <v>1</v>
      </c>
      <c r="X117" s="7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</row>
    <row r="118" spans="1:58">
      <c r="B118" s="15" t="s">
        <v>20</v>
      </c>
      <c r="C118" s="3">
        <f>1-C117</f>
        <v>0</v>
      </c>
      <c r="D118" s="3">
        <f t="shared" ref="D118:W118" si="23">1-D117</f>
        <v>0</v>
      </c>
      <c r="E118" s="3">
        <f t="shared" si="23"/>
        <v>0</v>
      </c>
      <c r="F118" s="3">
        <f t="shared" si="23"/>
        <v>0</v>
      </c>
      <c r="G118" s="3">
        <f t="shared" si="23"/>
        <v>0</v>
      </c>
      <c r="H118" s="3">
        <f t="shared" si="23"/>
        <v>1</v>
      </c>
      <c r="I118" s="3">
        <f t="shared" si="23"/>
        <v>0</v>
      </c>
      <c r="J118" s="3">
        <f t="shared" si="23"/>
        <v>1</v>
      </c>
      <c r="K118" s="3">
        <f t="shared" si="23"/>
        <v>0</v>
      </c>
      <c r="L118" s="3">
        <f t="shared" si="23"/>
        <v>1</v>
      </c>
      <c r="M118" s="3">
        <f t="shared" si="23"/>
        <v>0</v>
      </c>
      <c r="N118" s="3">
        <f t="shared" si="23"/>
        <v>0</v>
      </c>
      <c r="O118" s="3">
        <f t="shared" si="23"/>
        <v>0</v>
      </c>
      <c r="P118" s="3">
        <f t="shared" si="23"/>
        <v>0</v>
      </c>
      <c r="Q118" s="3">
        <f t="shared" si="23"/>
        <v>0</v>
      </c>
      <c r="R118" s="3">
        <f t="shared" si="23"/>
        <v>0</v>
      </c>
      <c r="S118" s="3">
        <f t="shared" si="23"/>
        <v>0</v>
      </c>
      <c r="T118" s="3">
        <f t="shared" si="23"/>
        <v>0</v>
      </c>
      <c r="U118" s="3">
        <f t="shared" si="23"/>
        <v>0</v>
      </c>
      <c r="V118" s="3">
        <f t="shared" si="23"/>
        <v>0</v>
      </c>
      <c r="W118" s="3">
        <f t="shared" si="23"/>
        <v>0</v>
      </c>
      <c r="X118" s="18">
        <f>SUM(C118:N118)</f>
        <v>3</v>
      </c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</row>
    <row r="120" spans="1:58" ht="21.6">
      <c r="A120" s="5" t="s">
        <v>209</v>
      </c>
    </row>
    <row r="121" spans="1:58">
      <c r="A121" s="25" t="s">
        <v>1</v>
      </c>
      <c r="B121" s="25"/>
      <c r="C121" s="3" t="s">
        <v>210</v>
      </c>
      <c r="D121" s="3" t="s">
        <v>211</v>
      </c>
      <c r="E121" s="3" t="s">
        <v>212</v>
      </c>
      <c r="F121" s="3" t="s">
        <v>213</v>
      </c>
    </row>
    <row r="122" spans="1:58">
      <c r="A122" s="3">
        <v>1</v>
      </c>
      <c r="B122" s="14" t="s">
        <v>214</v>
      </c>
      <c r="C122" s="3">
        <v>1</v>
      </c>
      <c r="D122" s="3">
        <v>1</v>
      </c>
      <c r="E122" s="3">
        <v>1</v>
      </c>
      <c r="F122" s="3">
        <v>1</v>
      </c>
    </row>
    <row r="123" spans="1:58">
      <c r="A123" s="3">
        <v>2</v>
      </c>
      <c r="B123" s="14" t="s">
        <v>215</v>
      </c>
      <c r="C123" s="3">
        <v>1</v>
      </c>
      <c r="D123" s="3">
        <v>1</v>
      </c>
      <c r="E123" s="3">
        <v>1</v>
      </c>
      <c r="F123" s="3">
        <v>1</v>
      </c>
    </row>
    <row r="124" spans="1:58">
      <c r="C124" s="3">
        <f>SUM(C122:C123)</f>
        <v>2</v>
      </c>
      <c r="D124" s="3">
        <f t="shared" ref="D124" si="24">SUM(D122:D123)</f>
        <v>2</v>
      </c>
      <c r="E124" s="3">
        <f t="shared" ref="E124" si="25">SUM(E122:E123)</f>
        <v>2</v>
      </c>
      <c r="F124" s="3">
        <f t="shared" ref="F124" si="26">SUM(F122:F123)</f>
        <v>2</v>
      </c>
      <c r="G124" s="11"/>
    </row>
    <row r="125" spans="1:58">
      <c r="B125" s="15" t="s">
        <v>20</v>
      </c>
      <c r="C125" s="3">
        <f>2-C124</f>
        <v>0</v>
      </c>
      <c r="D125" s="3">
        <f t="shared" ref="D125" si="27">2-D124</f>
        <v>0</v>
      </c>
      <c r="E125" s="3">
        <f t="shared" ref="E125" si="28">2-E124</f>
        <v>0</v>
      </c>
      <c r="F125" s="3">
        <f t="shared" ref="F125" si="29">2-F124</f>
        <v>0</v>
      </c>
      <c r="G125" s="12">
        <f>SUM(C125:F125)</f>
        <v>0</v>
      </c>
    </row>
    <row r="127" spans="1:58" ht="21.6">
      <c r="A127" s="5" t="s">
        <v>216</v>
      </c>
    </row>
    <row r="128" spans="1:58">
      <c r="A128" s="25" t="s">
        <v>1</v>
      </c>
      <c r="B128" s="25"/>
      <c r="C128" s="3" t="s">
        <v>217</v>
      </c>
    </row>
    <row r="129" spans="1:7">
      <c r="A129" s="3">
        <v>1</v>
      </c>
      <c r="B129" s="14" t="s">
        <v>218</v>
      </c>
      <c r="C129" s="3">
        <v>1</v>
      </c>
    </row>
    <row r="130" spans="1:7" ht="36">
      <c r="A130" s="3">
        <v>2</v>
      </c>
      <c r="B130" s="14" t="s">
        <v>219</v>
      </c>
      <c r="C130" s="3">
        <v>1</v>
      </c>
    </row>
    <row r="131" spans="1:7">
      <c r="A131" s="3">
        <v>3</v>
      </c>
      <c r="B131" s="14" t="s">
        <v>220</v>
      </c>
      <c r="C131" s="3">
        <v>1</v>
      </c>
    </row>
    <row r="132" spans="1:7">
      <c r="C132" s="3">
        <f>SUM(C129:C131)</f>
        <v>3</v>
      </c>
      <c r="D132" s="11"/>
    </row>
    <row r="133" spans="1:7">
      <c r="B133" s="15" t="s">
        <v>20</v>
      </c>
      <c r="C133" s="3">
        <f>3-C132</f>
        <v>0</v>
      </c>
      <c r="D133" s="12">
        <f>SUM(C133)</f>
        <v>0</v>
      </c>
    </row>
    <row r="135" spans="1:7" ht="21.6">
      <c r="A135" s="5" t="s">
        <v>221</v>
      </c>
    </row>
    <row r="136" spans="1:7">
      <c r="A136" s="25" t="s">
        <v>1</v>
      </c>
      <c r="B136" s="25"/>
      <c r="C136" s="3" t="s">
        <v>222</v>
      </c>
      <c r="D136" s="3" t="s">
        <v>223</v>
      </c>
      <c r="E136" s="3" t="s">
        <v>224</v>
      </c>
      <c r="F136" s="3" t="s">
        <v>225</v>
      </c>
    </row>
    <row r="137" spans="1:7" ht="54">
      <c r="A137" s="3">
        <v>1</v>
      </c>
      <c r="B137" s="14" t="s">
        <v>226</v>
      </c>
      <c r="C137" s="3">
        <v>1</v>
      </c>
      <c r="D137" s="3">
        <v>1</v>
      </c>
      <c r="E137" s="3">
        <v>1</v>
      </c>
      <c r="F137" s="3">
        <v>1</v>
      </c>
    </row>
    <row r="138" spans="1:7" ht="54">
      <c r="A138" s="3">
        <v>2</v>
      </c>
      <c r="B138" s="14" t="s">
        <v>227</v>
      </c>
      <c r="C138" s="3">
        <v>1</v>
      </c>
      <c r="D138" s="3">
        <v>1</v>
      </c>
      <c r="E138" s="3">
        <v>1</v>
      </c>
      <c r="F138" s="3">
        <v>1</v>
      </c>
    </row>
    <row r="139" spans="1:7">
      <c r="A139" s="3">
        <v>3</v>
      </c>
      <c r="B139" s="14" t="s">
        <v>228</v>
      </c>
      <c r="C139" s="3">
        <v>1</v>
      </c>
      <c r="D139" s="3">
        <v>1</v>
      </c>
      <c r="E139" s="3">
        <v>1</v>
      </c>
      <c r="F139" s="3">
        <v>1</v>
      </c>
    </row>
    <row r="140" spans="1:7" ht="36">
      <c r="A140" s="3">
        <v>4</v>
      </c>
      <c r="B140" s="14" t="s">
        <v>229</v>
      </c>
      <c r="C140" s="3">
        <v>1</v>
      </c>
      <c r="D140" s="3">
        <v>1</v>
      </c>
      <c r="E140" s="3">
        <v>1</v>
      </c>
      <c r="F140" s="3">
        <v>1</v>
      </c>
    </row>
    <row r="141" spans="1:7">
      <c r="C141" s="3">
        <f>SUM(C137:C140)</f>
        <v>4</v>
      </c>
      <c r="D141" s="3">
        <f t="shared" ref="D141:F141" si="30">SUM(D137:D140)</f>
        <v>4</v>
      </c>
      <c r="E141" s="3">
        <f t="shared" si="30"/>
        <v>4</v>
      </c>
      <c r="F141" s="3">
        <f t="shared" si="30"/>
        <v>4</v>
      </c>
      <c r="G141" s="11"/>
    </row>
    <row r="142" spans="1:7">
      <c r="B142" s="15" t="s">
        <v>20</v>
      </c>
      <c r="C142" s="3">
        <f>4-C141</f>
        <v>0</v>
      </c>
      <c r="D142" s="3">
        <f t="shared" ref="D142:F142" si="31">4-D141</f>
        <v>0</v>
      </c>
      <c r="E142" s="3">
        <f t="shared" si="31"/>
        <v>0</v>
      </c>
      <c r="F142" s="3">
        <f t="shared" si="31"/>
        <v>0</v>
      </c>
      <c r="G142" s="12">
        <f>SUM(C142:F142)</f>
        <v>0</v>
      </c>
    </row>
    <row r="144" spans="1:7" ht="21.6">
      <c r="A144" s="5" t="s">
        <v>230</v>
      </c>
    </row>
    <row r="145" spans="1:21" s="2" customFormat="1" ht="29.1" customHeight="1">
      <c r="A145" s="26" t="s">
        <v>1</v>
      </c>
      <c r="B145" s="26"/>
      <c r="C145" s="17" t="s">
        <v>231</v>
      </c>
      <c r="D145" s="17" t="s">
        <v>232</v>
      </c>
      <c r="E145" s="17" t="s">
        <v>233</v>
      </c>
      <c r="F145" s="17" t="s">
        <v>234</v>
      </c>
      <c r="G145" s="17" t="s">
        <v>235</v>
      </c>
      <c r="H145" s="17" t="s">
        <v>236</v>
      </c>
      <c r="I145" s="17" t="s">
        <v>237</v>
      </c>
      <c r="J145" s="17" t="s">
        <v>238</v>
      </c>
      <c r="K145" s="17" t="s">
        <v>239</v>
      </c>
      <c r="L145" s="17" t="s">
        <v>240</v>
      </c>
      <c r="M145" s="17" t="s">
        <v>241</v>
      </c>
      <c r="N145" s="17" t="s">
        <v>242</v>
      </c>
      <c r="O145" s="19"/>
      <c r="P145" s="19"/>
    </row>
    <row r="146" spans="1:21" ht="39.950000000000003" customHeight="1">
      <c r="A146" s="3">
        <v>1</v>
      </c>
      <c r="B146" s="14" t="s">
        <v>243</v>
      </c>
      <c r="C146" s="3">
        <v>1</v>
      </c>
      <c r="D146" s="3">
        <v>1</v>
      </c>
      <c r="E146" s="3">
        <v>1</v>
      </c>
      <c r="F146" s="3">
        <v>1</v>
      </c>
      <c r="G146" s="3">
        <v>1</v>
      </c>
      <c r="H146" s="3">
        <v>1</v>
      </c>
      <c r="I146" s="3">
        <v>1</v>
      </c>
      <c r="J146" s="3">
        <v>1</v>
      </c>
      <c r="K146" s="9" t="s">
        <v>14</v>
      </c>
      <c r="L146" s="9" t="s">
        <v>14</v>
      </c>
      <c r="M146" s="3">
        <v>1</v>
      </c>
      <c r="N146" s="3">
        <v>1</v>
      </c>
      <c r="O146" s="4"/>
      <c r="P146" s="4"/>
    </row>
    <row r="147" spans="1:21">
      <c r="C147" s="3">
        <f>SUM(C146)</f>
        <v>1</v>
      </c>
      <c r="D147" s="3">
        <f t="shared" ref="D147:N147" si="32">SUM(D146)</f>
        <v>1</v>
      </c>
      <c r="E147" s="3">
        <f t="shared" si="32"/>
        <v>1</v>
      </c>
      <c r="F147" s="3">
        <f t="shared" si="32"/>
        <v>1</v>
      </c>
      <c r="G147" s="3">
        <f t="shared" si="32"/>
        <v>1</v>
      </c>
      <c r="H147" s="3">
        <f t="shared" si="32"/>
        <v>1</v>
      </c>
      <c r="I147" s="3">
        <f t="shared" si="32"/>
        <v>1</v>
      </c>
      <c r="J147" s="3">
        <f t="shared" si="32"/>
        <v>1</v>
      </c>
      <c r="K147" s="3"/>
      <c r="L147" s="3"/>
      <c r="M147" s="3">
        <f t="shared" si="32"/>
        <v>1</v>
      </c>
      <c r="N147" s="3">
        <f t="shared" si="32"/>
        <v>1</v>
      </c>
      <c r="O147" s="11"/>
      <c r="P147" s="4"/>
    </row>
    <row r="148" spans="1:21">
      <c r="B148" s="15" t="s">
        <v>20</v>
      </c>
      <c r="C148" s="3">
        <f>1-C147</f>
        <v>0</v>
      </c>
      <c r="D148" s="3">
        <f t="shared" ref="D148:N148" si="33">1-D147</f>
        <v>0</v>
      </c>
      <c r="E148" s="3">
        <f t="shared" si="33"/>
        <v>0</v>
      </c>
      <c r="F148" s="3">
        <f t="shared" si="33"/>
        <v>0</v>
      </c>
      <c r="G148" s="3">
        <f t="shared" si="33"/>
        <v>0</v>
      </c>
      <c r="H148" s="3">
        <f t="shared" si="33"/>
        <v>0</v>
      </c>
      <c r="I148" s="3">
        <f t="shared" si="33"/>
        <v>0</v>
      </c>
      <c r="J148" s="3">
        <f t="shared" si="33"/>
        <v>0</v>
      </c>
      <c r="K148" s="3"/>
      <c r="L148" s="3"/>
      <c r="M148" s="3">
        <f t="shared" si="33"/>
        <v>0</v>
      </c>
      <c r="N148" s="3">
        <f t="shared" si="33"/>
        <v>0</v>
      </c>
      <c r="O148" s="18">
        <f>SUM(C148:N148)</f>
        <v>0</v>
      </c>
      <c r="P148" s="4"/>
    </row>
    <row r="150" spans="1:21" ht="21.6">
      <c r="A150" s="5" t="s">
        <v>244</v>
      </c>
    </row>
    <row r="151" spans="1:21">
      <c r="A151" s="25" t="s">
        <v>1</v>
      </c>
      <c r="B151" s="25"/>
      <c r="C151" s="3" t="s">
        <v>245</v>
      </c>
      <c r="D151" s="3" t="s">
        <v>246</v>
      </c>
      <c r="E151" s="3" t="s">
        <v>247</v>
      </c>
      <c r="F151" s="3" t="s">
        <v>248</v>
      </c>
      <c r="G151" s="3" t="s">
        <v>249</v>
      </c>
      <c r="H151" s="3" t="s">
        <v>250</v>
      </c>
      <c r="I151" s="3" t="s">
        <v>251</v>
      </c>
      <c r="J151" s="3" t="s">
        <v>252</v>
      </c>
      <c r="K151" s="3" t="s">
        <v>253</v>
      </c>
      <c r="L151" s="3" t="s">
        <v>254</v>
      </c>
      <c r="M151" s="3" t="s">
        <v>255</v>
      </c>
      <c r="N151" s="3" t="s">
        <v>256</v>
      </c>
      <c r="O151" s="3" t="s">
        <v>257</v>
      </c>
      <c r="P151" s="3" t="s">
        <v>258</v>
      </c>
      <c r="Q151" s="3" t="s">
        <v>259</v>
      </c>
      <c r="R151" s="3" t="s">
        <v>260</v>
      </c>
      <c r="S151" s="3" t="s">
        <v>261</v>
      </c>
      <c r="T151" s="3" t="s">
        <v>262</v>
      </c>
    </row>
    <row r="152" spans="1:21" ht="42.6" customHeight="1">
      <c r="A152" s="3">
        <v>1</v>
      </c>
      <c r="B152" s="14" t="s">
        <v>263</v>
      </c>
      <c r="C152" s="3">
        <v>1</v>
      </c>
      <c r="D152" s="3">
        <v>1</v>
      </c>
      <c r="E152" s="3">
        <v>1</v>
      </c>
      <c r="F152" s="3">
        <v>1</v>
      </c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1</v>
      </c>
      <c r="S152" s="3">
        <v>1</v>
      </c>
      <c r="T152" s="3">
        <v>1</v>
      </c>
    </row>
    <row r="153" spans="1:21">
      <c r="A153" s="3">
        <v>2</v>
      </c>
      <c r="B153" s="14" t="s">
        <v>264</v>
      </c>
      <c r="C153" s="3">
        <v>1</v>
      </c>
      <c r="D153" s="3">
        <v>1</v>
      </c>
      <c r="E153" s="3">
        <v>1</v>
      </c>
      <c r="F153" s="3">
        <v>1</v>
      </c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0</v>
      </c>
      <c r="N153" s="3">
        <v>1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</row>
    <row r="154" spans="1:21">
      <c r="A154" s="3">
        <v>3</v>
      </c>
      <c r="B154" s="14" t="s">
        <v>265</v>
      </c>
      <c r="C154" s="3">
        <v>1</v>
      </c>
      <c r="D154" s="3">
        <v>1</v>
      </c>
      <c r="E154" s="3">
        <v>1</v>
      </c>
      <c r="F154" s="3">
        <v>1</v>
      </c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</row>
    <row r="155" spans="1:21">
      <c r="C155" s="3">
        <f>SUM(C152:C154)</f>
        <v>3</v>
      </c>
      <c r="D155" s="3">
        <f t="shared" ref="D155" si="34">SUM(D152:D154)</f>
        <v>3</v>
      </c>
      <c r="E155" s="3">
        <f t="shared" ref="E155" si="35">SUM(E152:E154)</f>
        <v>3</v>
      </c>
      <c r="F155" s="3">
        <f t="shared" ref="F155" si="36">SUM(F152:F154)</f>
        <v>3</v>
      </c>
      <c r="G155" s="3">
        <f t="shared" ref="G155" si="37">SUM(G152:G154)</f>
        <v>3</v>
      </c>
      <c r="H155" s="3">
        <f t="shared" ref="H155" si="38">SUM(H152:H154)</f>
        <v>3</v>
      </c>
      <c r="I155" s="3">
        <f t="shared" ref="I155" si="39">SUM(I152:I154)</f>
        <v>3</v>
      </c>
      <c r="J155" s="3">
        <f t="shared" ref="J155" si="40">SUM(J152:J154)</f>
        <v>3</v>
      </c>
      <c r="K155" s="3">
        <f t="shared" ref="K155" si="41">SUM(K152:K154)</f>
        <v>3</v>
      </c>
      <c r="L155" s="3">
        <f t="shared" ref="L155" si="42">SUM(L152:L154)</f>
        <v>3</v>
      </c>
      <c r="M155" s="3">
        <f t="shared" ref="M155" si="43">SUM(M152:M154)</f>
        <v>2</v>
      </c>
      <c r="N155" s="3">
        <f t="shared" ref="N155:T155" si="44">SUM(N152:N154)</f>
        <v>3</v>
      </c>
      <c r="O155" s="3">
        <f t="shared" si="44"/>
        <v>3</v>
      </c>
      <c r="P155" s="3">
        <f t="shared" si="44"/>
        <v>3</v>
      </c>
      <c r="Q155" s="3">
        <f t="shared" si="44"/>
        <v>3</v>
      </c>
      <c r="R155" s="3">
        <f t="shared" si="44"/>
        <v>3</v>
      </c>
      <c r="S155" s="3">
        <f t="shared" si="44"/>
        <v>3</v>
      </c>
      <c r="T155" s="3">
        <f t="shared" si="44"/>
        <v>3</v>
      </c>
      <c r="U155" s="7"/>
    </row>
    <row r="156" spans="1:21">
      <c r="B156" s="15" t="s">
        <v>20</v>
      </c>
      <c r="C156" s="3">
        <f>3-C155</f>
        <v>0</v>
      </c>
      <c r="D156" s="3">
        <f t="shared" ref="D156" si="45">3-D155</f>
        <v>0</v>
      </c>
      <c r="E156" s="3">
        <f t="shared" ref="E156" si="46">3-E155</f>
        <v>0</v>
      </c>
      <c r="F156" s="3">
        <f t="shared" ref="F156" si="47">3-F155</f>
        <v>0</v>
      </c>
      <c r="G156" s="3">
        <f t="shared" ref="G156" si="48">3-G155</f>
        <v>0</v>
      </c>
      <c r="H156" s="3">
        <f t="shared" ref="H156" si="49">3-H155</f>
        <v>0</v>
      </c>
      <c r="I156" s="3">
        <f t="shared" ref="I156" si="50">3-I155</f>
        <v>0</v>
      </c>
      <c r="J156" s="3">
        <f t="shared" ref="J156" si="51">3-J155</f>
        <v>0</v>
      </c>
      <c r="K156" s="3">
        <f t="shared" ref="K156" si="52">3-K155</f>
        <v>0</v>
      </c>
      <c r="L156" s="3">
        <f t="shared" ref="L156" si="53">3-L155</f>
        <v>0</v>
      </c>
      <c r="M156" s="3">
        <f t="shared" ref="M156" si="54">3-M155</f>
        <v>1</v>
      </c>
      <c r="N156" s="3">
        <f t="shared" ref="N156:T156" si="55">3-N155</f>
        <v>0</v>
      </c>
      <c r="O156" s="3">
        <f t="shared" si="55"/>
        <v>0</v>
      </c>
      <c r="P156" s="3">
        <f t="shared" si="55"/>
        <v>0</v>
      </c>
      <c r="Q156" s="3">
        <f t="shared" si="55"/>
        <v>0</v>
      </c>
      <c r="R156" s="3">
        <f t="shared" si="55"/>
        <v>0</v>
      </c>
      <c r="S156" s="3">
        <f t="shared" si="55"/>
        <v>0</v>
      </c>
      <c r="T156" s="3">
        <f t="shared" si="55"/>
        <v>0</v>
      </c>
      <c r="U156" s="8">
        <f>SUM(C156:N156)</f>
        <v>1</v>
      </c>
    </row>
    <row r="158" spans="1:21" ht="21.6">
      <c r="A158" s="5" t="s">
        <v>266</v>
      </c>
    </row>
    <row r="159" spans="1:21">
      <c r="A159" s="25" t="s">
        <v>1</v>
      </c>
      <c r="B159" s="25"/>
      <c r="C159" s="3" t="s">
        <v>267</v>
      </c>
    </row>
    <row r="160" spans="1:21" ht="50.45" customHeight="1">
      <c r="A160" s="3">
        <v>1</v>
      </c>
      <c r="B160" s="14" t="s">
        <v>268</v>
      </c>
      <c r="C160" s="3">
        <v>1</v>
      </c>
    </row>
    <row r="161" spans="1:6">
      <c r="C161" s="3">
        <f>SUM(C160)</f>
        <v>1</v>
      </c>
      <c r="D161" s="11"/>
    </row>
    <row r="162" spans="1:6">
      <c r="B162" s="15" t="s">
        <v>20</v>
      </c>
      <c r="C162" s="3">
        <f>1-C161</f>
        <v>0</v>
      </c>
      <c r="D162" s="12">
        <f>SUM(C162)</f>
        <v>0</v>
      </c>
    </row>
    <row r="164" spans="1:6" ht="21.6">
      <c r="A164" s="5" t="s">
        <v>269</v>
      </c>
    </row>
    <row r="165" spans="1:6">
      <c r="A165" s="25" t="s">
        <v>1</v>
      </c>
      <c r="B165" s="25"/>
      <c r="C165" s="3" t="s">
        <v>245</v>
      </c>
      <c r="D165" s="3" t="s">
        <v>246</v>
      </c>
      <c r="E165" s="3" t="s">
        <v>247</v>
      </c>
    </row>
    <row r="166" spans="1:6" ht="31.5" customHeight="1">
      <c r="A166" s="3">
        <v>1</v>
      </c>
      <c r="B166" s="14" t="s">
        <v>270</v>
      </c>
      <c r="C166" s="3">
        <v>1</v>
      </c>
      <c r="D166" s="3">
        <v>1</v>
      </c>
      <c r="E166" s="3">
        <v>1</v>
      </c>
    </row>
    <row r="167" spans="1:6" ht="36">
      <c r="A167" s="3">
        <v>2</v>
      </c>
      <c r="B167" s="14" t="s">
        <v>271</v>
      </c>
      <c r="C167" s="3">
        <v>1</v>
      </c>
      <c r="D167" s="3">
        <v>1</v>
      </c>
      <c r="E167" s="3">
        <v>1</v>
      </c>
    </row>
    <row r="168" spans="1:6">
      <c r="C168" s="3">
        <f>SUM(C166:C167)</f>
        <v>2</v>
      </c>
      <c r="D168" s="3">
        <f t="shared" ref="D168" si="56">SUM(D166:D167)</f>
        <v>2</v>
      </c>
      <c r="E168" s="3">
        <f t="shared" ref="E168" si="57">SUM(E166:E167)</f>
        <v>2</v>
      </c>
      <c r="F168" s="11"/>
    </row>
    <row r="169" spans="1:6">
      <c r="B169" s="15" t="s">
        <v>20</v>
      </c>
      <c r="C169" s="3">
        <f>2-C168</f>
        <v>0</v>
      </c>
      <c r="D169" s="3">
        <f t="shared" ref="D169" si="58">2-D168</f>
        <v>0</v>
      </c>
      <c r="E169" s="3">
        <f t="shared" ref="E169" si="59">2-E168</f>
        <v>0</v>
      </c>
      <c r="F169" s="12">
        <f>SUM(C169:E169)</f>
        <v>0</v>
      </c>
    </row>
    <row r="171" spans="1:6" ht="21.6">
      <c r="A171" s="5" t="s">
        <v>272</v>
      </c>
    </row>
    <row r="172" spans="1:6">
      <c r="A172" s="25" t="s">
        <v>1</v>
      </c>
      <c r="B172" s="25"/>
      <c r="C172" s="3" t="s">
        <v>273</v>
      </c>
    </row>
    <row r="173" spans="1:6" ht="21.6" customHeight="1">
      <c r="A173" s="3">
        <v>1</v>
      </c>
      <c r="B173" s="14" t="s">
        <v>274</v>
      </c>
      <c r="C173" s="3">
        <v>1</v>
      </c>
    </row>
    <row r="174" spans="1:6">
      <c r="A174" s="3">
        <v>2</v>
      </c>
      <c r="B174" s="14" t="s">
        <v>275</v>
      </c>
      <c r="C174" s="3">
        <v>1</v>
      </c>
    </row>
    <row r="175" spans="1:6" ht="36">
      <c r="A175" s="3">
        <v>3</v>
      </c>
      <c r="B175" s="14" t="s">
        <v>276</v>
      </c>
      <c r="C175" s="3">
        <v>1</v>
      </c>
    </row>
    <row r="176" spans="1:6">
      <c r="C176" s="3">
        <f>SUM(C173:C175)</f>
        <v>3</v>
      </c>
      <c r="D176" s="7"/>
    </row>
    <row r="177" spans="1:5">
      <c r="B177" s="15" t="s">
        <v>20</v>
      </c>
      <c r="C177" s="3">
        <f>3-C176</f>
        <v>0</v>
      </c>
      <c r="D177" s="8">
        <f>SUM(C177)</f>
        <v>0</v>
      </c>
    </row>
    <row r="179" spans="1:5" ht="21.6">
      <c r="A179" s="5" t="s">
        <v>277</v>
      </c>
    </row>
    <row r="180" spans="1:5">
      <c r="A180" s="25" t="s">
        <v>1</v>
      </c>
      <c r="B180" s="25"/>
      <c r="C180" s="3" t="s">
        <v>278</v>
      </c>
      <c r="D180" s="3" t="s">
        <v>279</v>
      </c>
    </row>
    <row r="181" spans="1:5" ht="36">
      <c r="A181" s="3">
        <v>1</v>
      </c>
      <c r="B181" s="14" t="s">
        <v>280</v>
      </c>
      <c r="C181" s="3">
        <v>1</v>
      </c>
      <c r="D181" s="3">
        <v>1</v>
      </c>
    </row>
    <row r="182" spans="1:5">
      <c r="A182" s="3">
        <v>2</v>
      </c>
      <c r="B182" s="14" t="s">
        <v>281</v>
      </c>
      <c r="C182" s="3">
        <v>1</v>
      </c>
      <c r="D182" s="3">
        <v>1</v>
      </c>
    </row>
    <row r="183" spans="1:5">
      <c r="A183" s="3">
        <v>3</v>
      </c>
      <c r="B183" s="14" t="s">
        <v>282</v>
      </c>
      <c r="C183" s="3">
        <v>1</v>
      </c>
      <c r="D183" s="3">
        <v>1</v>
      </c>
    </row>
    <row r="184" spans="1:5">
      <c r="C184" s="3">
        <f>SUM(C181:C183)</f>
        <v>3</v>
      </c>
      <c r="D184" s="3">
        <f t="shared" ref="D184" si="60">SUM(D181:D183)</f>
        <v>3</v>
      </c>
      <c r="E184" s="11"/>
    </row>
    <row r="185" spans="1:5">
      <c r="B185" s="15" t="s">
        <v>20</v>
      </c>
      <c r="C185" s="3">
        <f>3-C184</f>
        <v>0</v>
      </c>
      <c r="D185" s="3">
        <f t="shared" ref="D185" si="61">3-D184</f>
        <v>0</v>
      </c>
      <c r="E185" s="12">
        <f>SUM(C185:D185)</f>
        <v>0</v>
      </c>
    </row>
    <row r="187" spans="1:5" ht="21.6">
      <c r="A187" s="5" t="s">
        <v>283</v>
      </c>
    </row>
    <row r="188" spans="1:5">
      <c r="A188" s="25" t="s">
        <v>1</v>
      </c>
      <c r="B188" s="25"/>
      <c r="C188" s="3" t="s">
        <v>284</v>
      </c>
    </row>
    <row r="189" spans="1:5" ht="58.5" customHeight="1">
      <c r="A189" s="3">
        <v>1</v>
      </c>
      <c r="B189" s="14" t="s">
        <v>280</v>
      </c>
      <c r="C189" s="3">
        <v>1</v>
      </c>
    </row>
    <row r="190" spans="1:5">
      <c r="A190" s="3">
        <v>2</v>
      </c>
      <c r="B190" s="14" t="s">
        <v>281</v>
      </c>
      <c r="C190" s="3">
        <v>1</v>
      </c>
    </row>
    <row r="191" spans="1:5">
      <c r="A191" s="3">
        <v>3</v>
      </c>
      <c r="B191" s="14" t="s">
        <v>282</v>
      </c>
      <c r="C191" s="3">
        <v>1</v>
      </c>
    </row>
    <row r="192" spans="1:5">
      <c r="C192" s="3">
        <f>SUM(C189:C191)</f>
        <v>3</v>
      </c>
      <c r="D192" s="11"/>
    </row>
    <row r="193" spans="1:44">
      <c r="B193" s="15" t="s">
        <v>20</v>
      </c>
      <c r="C193" s="3">
        <f>3-C192</f>
        <v>0</v>
      </c>
      <c r="D193" s="12">
        <f>SUM(C193)</f>
        <v>0</v>
      </c>
    </row>
    <row r="195" spans="1:44" ht="21.6">
      <c r="A195" s="5" t="s">
        <v>285</v>
      </c>
    </row>
    <row r="196" spans="1:44">
      <c r="A196" s="25" t="s">
        <v>1</v>
      </c>
      <c r="B196" s="25"/>
      <c r="C196" s="3" t="s">
        <v>286</v>
      </c>
      <c r="D196" s="3" t="s">
        <v>287</v>
      </c>
    </row>
    <row r="197" spans="1:44" ht="34.5" customHeight="1">
      <c r="A197" s="3">
        <v>1</v>
      </c>
      <c r="B197" s="14" t="s">
        <v>288</v>
      </c>
      <c r="C197" s="3">
        <v>1</v>
      </c>
      <c r="D197" s="3">
        <v>1</v>
      </c>
    </row>
    <row r="198" spans="1:44" ht="36">
      <c r="A198" s="3">
        <v>2</v>
      </c>
      <c r="B198" s="14" t="s">
        <v>289</v>
      </c>
      <c r="C198" s="3">
        <v>1</v>
      </c>
      <c r="D198" s="3">
        <v>1</v>
      </c>
    </row>
    <row r="199" spans="1:44">
      <c r="C199" s="3">
        <f>SUM(C197:C198)</f>
        <v>2</v>
      </c>
      <c r="D199" s="10">
        <f t="shared" ref="D199" si="62">SUM(D197:D198)</f>
        <v>2</v>
      </c>
      <c r="E199" s="7"/>
    </row>
    <row r="200" spans="1:44">
      <c r="B200" s="15" t="s">
        <v>20</v>
      </c>
      <c r="C200" s="3">
        <f>2-C199</f>
        <v>0</v>
      </c>
      <c r="D200" s="10">
        <f t="shared" ref="D200" si="63">2-D199</f>
        <v>0</v>
      </c>
      <c r="E200" s="8">
        <f>SUM(C200:D200)</f>
        <v>0</v>
      </c>
    </row>
    <row r="202" spans="1:44" ht="21.6">
      <c r="A202" s="5" t="s">
        <v>290</v>
      </c>
    </row>
    <row r="203" spans="1:44">
      <c r="A203" s="25" t="s">
        <v>1</v>
      </c>
      <c r="B203" s="25"/>
      <c r="C203" s="3" t="s">
        <v>291</v>
      </c>
      <c r="D203" s="3" t="s">
        <v>292</v>
      </c>
      <c r="E203" s="3" t="s">
        <v>293</v>
      </c>
      <c r="F203" s="3" t="s">
        <v>294</v>
      </c>
      <c r="G203" s="3" t="s">
        <v>295</v>
      </c>
      <c r="H203" s="3" t="s">
        <v>296</v>
      </c>
      <c r="I203" s="3" t="s">
        <v>297</v>
      </c>
      <c r="J203" s="3" t="s">
        <v>298</v>
      </c>
      <c r="K203" s="3" t="s">
        <v>299</v>
      </c>
      <c r="L203" s="3" t="s">
        <v>300</v>
      </c>
      <c r="M203" s="3" t="s">
        <v>301</v>
      </c>
      <c r="N203" s="3" t="s">
        <v>302</v>
      </c>
      <c r="O203" s="3" t="s">
        <v>303</v>
      </c>
      <c r="P203" s="3" t="s">
        <v>304</v>
      </c>
      <c r="Q203" s="3" t="s">
        <v>305</v>
      </c>
      <c r="R203" s="3" t="s">
        <v>306</v>
      </c>
      <c r="S203" s="3" t="s">
        <v>307</v>
      </c>
      <c r="T203" s="3" t="s">
        <v>308</v>
      </c>
      <c r="U203" s="3" t="s">
        <v>309</v>
      </c>
      <c r="V203" s="3" t="s">
        <v>310</v>
      </c>
      <c r="W203" s="3" t="s">
        <v>311</v>
      </c>
      <c r="X203" s="3" t="s">
        <v>312</v>
      </c>
      <c r="Y203" s="3" t="s">
        <v>313</v>
      </c>
      <c r="Z203" s="3" t="s">
        <v>314</v>
      </c>
      <c r="AA203" s="3" t="s">
        <v>315</v>
      </c>
      <c r="AB203" s="3" t="s">
        <v>316</v>
      </c>
      <c r="AC203" s="3" t="s">
        <v>317</v>
      </c>
      <c r="AD203" s="3" t="s">
        <v>318</v>
      </c>
      <c r="AE203" s="3" t="s">
        <v>319</v>
      </c>
      <c r="AF203" s="3" t="s">
        <v>320</v>
      </c>
      <c r="AG203" s="3" t="s">
        <v>321</v>
      </c>
      <c r="AH203" s="3" t="s">
        <v>322</v>
      </c>
      <c r="AI203" s="3" t="s">
        <v>323</v>
      </c>
      <c r="AJ203" s="3" t="s">
        <v>324</v>
      </c>
      <c r="AK203" s="3" t="s">
        <v>325</v>
      </c>
      <c r="AL203" s="3" t="s">
        <v>326</v>
      </c>
      <c r="AM203" s="3" t="s">
        <v>327</v>
      </c>
      <c r="AN203" s="3" t="s">
        <v>328</v>
      </c>
      <c r="AO203" s="3" t="s">
        <v>329</v>
      </c>
      <c r="AP203" s="3" t="s">
        <v>330</v>
      </c>
      <c r="AQ203" s="3" t="s">
        <v>331</v>
      </c>
      <c r="AR203" s="3" t="s">
        <v>332</v>
      </c>
    </row>
    <row r="204" spans="1:44" ht="36">
      <c r="A204" s="3">
        <v>1</v>
      </c>
      <c r="B204" s="14" t="s">
        <v>333</v>
      </c>
      <c r="C204" s="3">
        <v>1</v>
      </c>
      <c r="D204" s="3">
        <v>1</v>
      </c>
      <c r="E204" s="3">
        <v>1</v>
      </c>
      <c r="F204" s="3">
        <v>1</v>
      </c>
      <c r="G204" s="3">
        <v>1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>
        <v>1</v>
      </c>
      <c r="R204" s="3">
        <v>1</v>
      </c>
      <c r="S204" s="3">
        <v>1</v>
      </c>
      <c r="T204" s="3">
        <v>1</v>
      </c>
      <c r="U204" s="3">
        <v>1</v>
      </c>
      <c r="V204" s="3">
        <v>1</v>
      </c>
      <c r="W204" s="3">
        <v>1</v>
      </c>
      <c r="X204" s="3">
        <v>1</v>
      </c>
      <c r="Y204" s="3">
        <v>1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3">
        <v>1</v>
      </c>
      <c r="AG204" s="3">
        <v>1</v>
      </c>
      <c r="AH204" s="3">
        <v>1</v>
      </c>
      <c r="AI204" s="3">
        <v>1</v>
      </c>
      <c r="AJ204" s="3">
        <v>1</v>
      </c>
      <c r="AK204" s="3">
        <v>1</v>
      </c>
      <c r="AL204" s="3">
        <v>1</v>
      </c>
      <c r="AM204" s="3">
        <v>1</v>
      </c>
      <c r="AN204" s="3">
        <v>1</v>
      </c>
      <c r="AO204" s="3">
        <v>1</v>
      </c>
      <c r="AP204" s="3">
        <v>1</v>
      </c>
      <c r="AQ204" s="3">
        <v>1</v>
      </c>
      <c r="AR204" s="3">
        <v>1</v>
      </c>
    </row>
    <row r="205" spans="1:44" ht="36">
      <c r="A205" s="3">
        <v>2</v>
      </c>
      <c r="B205" s="14" t="s">
        <v>334</v>
      </c>
      <c r="C205" s="3">
        <v>1</v>
      </c>
      <c r="D205" s="3">
        <v>1</v>
      </c>
      <c r="E205" s="3">
        <v>1</v>
      </c>
      <c r="F205" s="3">
        <v>1</v>
      </c>
      <c r="G205" s="3">
        <v>1</v>
      </c>
      <c r="H205" s="3">
        <v>1</v>
      </c>
      <c r="I205" s="3">
        <v>1</v>
      </c>
      <c r="J205" s="3">
        <v>1</v>
      </c>
      <c r="K205" s="3">
        <v>1</v>
      </c>
      <c r="L205" s="3">
        <v>1</v>
      </c>
      <c r="M205" s="3">
        <v>1</v>
      </c>
      <c r="N205" s="3">
        <v>1</v>
      </c>
      <c r="O205" s="3">
        <v>1</v>
      </c>
      <c r="P205" s="3">
        <v>1</v>
      </c>
      <c r="Q205" s="3">
        <v>1</v>
      </c>
      <c r="R205" s="3">
        <v>1</v>
      </c>
      <c r="S205" s="3">
        <v>1</v>
      </c>
      <c r="T205" s="3">
        <v>1</v>
      </c>
      <c r="U205" s="3">
        <v>1</v>
      </c>
      <c r="V205" s="3">
        <v>1</v>
      </c>
      <c r="W205" s="3">
        <v>1</v>
      </c>
      <c r="X205" s="3">
        <v>1</v>
      </c>
      <c r="Y205" s="3">
        <v>1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3">
        <v>1</v>
      </c>
      <c r="AG205" s="3">
        <v>1</v>
      </c>
      <c r="AH205" s="3">
        <v>1</v>
      </c>
      <c r="AI205" s="3">
        <v>1</v>
      </c>
      <c r="AJ205" s="3">
        <v>1</v>
      </c>
      <c r="AK205" s="3">
        <v>1</v>
      </c>
      <c r="AL205" s="3">
        <v>1</v>
      </c>
      <c r="AM205" s="3">
        <v>1</v>
      </c>
      <c r="AN205" s="3">
        <v>1</v>
      </c>
      <c r="AO205" s="3">
        <v>1</v>
      </c>
      <c r="AP205" s="3">
        <v>1</v>
      </c>
      <c r="AQ205" s="3">
        <v>1</v>
      </c>
      <c r="AR205" s="3">
        <v>1</v>
      </c>
    </row>
    <row r="206" spans="1:44">
      <c r="A206" s="3">
        <v>3</v>
      </c>
      <c r="B206" s="14" t="s">
        <v>335</v>
      </c>
      <c r="C206" s="3">
        <v>1</v>
      </c>
      <c r="D206" s="3">
        <v>1</v>
      </c>
      <c r="E206" s="3">
        <v>1</v>
      </c>
      <c r="F206" s="3">
        <v>1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>
        <v>1</v>
      </c>
      <c r="R206" s="3">
        <v>1</v>
      </c>
      <c r="S206" s="3">
        <v>1</v>
      </c>
      <c r="T206" s="3">
        <v>1</v>
      </c>
      <c r="U206" s="3">
        <v>1</v>
      </c>
      <c r="V206" s="3">
        <v>1</v>
      </c>
      <c r="W206" s="3">
        <v>1</v>
      </c>
      <c r="X206" s="3">
        <v>1</v>
      </c>
      <c r="Y206" s="3">
        <v>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3">
        <v>1</v>
      </c>
      <c r="AG206" s="3">
        <v>1</v>
      </c>
      <c r="AH206" s="3">
        <v>1</v>
      </c>
      <c r="AI206" s="3">
        <v>1</v>
      </c>
      <c r="AJ206" s="3">
        <v>1</v>
      </c>
      <c r="AK206" s="3">
        <v>1</v>
      </c>
      <c r="AL206" s="3">
        <v>1</v>
      </c>
      <c r="AM206" s="3">
        <v>1</v>
      </c>
      <c r="AN206" s="3">
        <v>1</v>
      </c>
      <c r="AO206" s="3">
        <v>1</v>
      </c>
      <c r="AP206" s="3">
        <v>1</v>
      </c>
      <c r="AQ206" s="3">
        <v>1</v>
      </c>
      <c r="AR206" s="3">
        <v>1</v>
      </c>
    </row>
    <row r="207" spans="1:44">
      <c r="A207" s="3">
        <v>4</v>
      </c>
      <c r="B207" s="14" t="s">
        <v>336</v>
      </c>
      <c r="C207" s="3">
        <v>1</v>
      </c>
      <c r="D207" s="3">
        <v>1</v>
      </c>
      <c r="E207" s="3">
        <v>1</v>
      </c>
      <c r="F207" s="3">
        <v>1</v>
      </c>
      <c r="G207" s="3">
        <v>1</v>
      </c>
      <c r="H207" s="3">
        <v>1</v>
      </c>
      <c r="I207" s="3">
        <v>1</v>
      </c>
      <c r="J207" s="3">
        <v>1</v>
      </c>
      <c r="K207" s="3">
        <v>1</v>
      </c>
      <c r="L207" s="3">
        <v>1</v>
      </c>
      <c r="M207" s="3">
        <v>1</v>
      </c>
      <c r="N207" s="3">
        <v>1</v>
      </c>
      <c r="O207" s="3">
        <v>1</v>
      </c>
      <c r="P207" s="3">
        <v>1</v>
      </c>
      <c r="Q207" s="3">
        <v>1</v>
      </c>
      <c r="R207" s="3">
        <v>1</v>
      </c>
      <c r="S207" s="3">
        <v>1</v>
      </c>
      <c r="T207" s="3">
        <v>1</v>
      </c>
      <c r="U207" s="3">
        <v>1</v>
      </c>
      <c r="V207" s="3">
        <v>1</v>
      </c>
      <c r="W207" s="3">
        <v>1</v>
      </c>
      <c r="X207" s="3">
        <v>1</v>
      </c>
      <c r="Y207" s="3">
        <v>1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3">
        <v>1</v>
      </c>
      <c r="AG207" s="3">
        <v>1</v>
      </c>
      <c r="AH207" s="3">
        <v>1</v>
      </c>
      <c r="AI207" s="3">
        <v>1</v>
      </c>
      <c r="AJ207" s="3">
        <v>1</v>
      </c>
      <c r="AK207" s="3">
        <v>1</v>
      </c>
      <c r="AL207" s="3">
        <v>1</v>
      </c>
      <c r="AM207" s="3">
        <v>1</v>
      </c>
      <c r="AN207" s="3">
        <v>1</v>
      </c>
      <c r="AO207" s="3">
        <v>1</v>
      </c>
      <c r="AP207" s="3">
        <v>1</v>
      </c>
      <c r="AQ207" s="3">
        <v>1</v>
      </c>
      <c r="AR207" s="3">
        <v>1</v>
      </c>
    </row>
    <row r="208" spans="1:44" ht="62.1">
      <c r="A208" s="3">
        <v>5</v>
      </c>
      <c r="B208" s="16" t="s">
        <v>337</v>
      </c>
      <c r="C208" s="3">
        <v>1</v>
      </c>
      <c r="D208" s="3">
        <v>1</v>
      </c>
      <c r="E208" s="3">
        <v>1</v>
      </c>
      <c r="F208" s="3">
        <v>1</v>
      </c>
      <c r="G208" s="3">
        <v>1</v>
      </c>
      <c r="H208" s="3">
        <v>1</v>
      </c>
      <c r="I208" s="3">
        <v>1</v>
      </c>
      <c r="J208" s="3">
        <v>1</v>
      </c>
      <c r="K208" s="3">
        <v>1</v>
      </c>
      <c r="L208" s="3">
        <v>1</v>
      </c>
      <c r="M208" s="3">
        <v>1</v>
      </c>
      <c r="N208" s="3">
        <v>1</v>
      </c>
      <c r="O208" s="3">
        <v>1</v>
      </c>
      <c r="P208" s="3">
        <v>1</v>
      </c>
      <c r="Q208" s="3">
        <v>1</v>
      </c>
      <c r="R208" s="3">
        <v>1</v>
      </c>
      <c r="S208" s="3">
        <v>1</v>
      </c>
      <c r="T208" s="3">
        <v>1</v>
      </c>
      <c r="U208" s="3">
        <v>1</v>
      </c>
      <c r="V208" s="3">
        <v>1</v>
      </c>
      <c r="W208" s="3">
        <v>1</v>
      </c>
      <c r="X208" s="3">
        <v>1</v>
      </c>
      <c r="Y208" s="3">
        <v>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3">
        <v>1</v>
      </c>
      <c r="AG208" s="3">
        <v>1</v>
      </c>
      <c r="AH208" s="3">
        <v>1</v>
      </c>
      <c r="AI208" s="3">
        <v>1</v>
      </c>
      <c r="AJ208" s="3">
        <v>1</v>
      </c>
      <c r="AK208" s="3">
        <v>1</v>
      </c>
      <c r="AL208" s="3">
        <v>1</v>
      </c>
      <c r="AM208" s="3">
        <v>1</v>
      </c>
      <c r="AN208" s="3">
        <v>1</v>
      </c>
      <c r="AO208" s="3">
        <v>1</v>
      </c>
      <c r="AP208" s="3">
        <v>1</v>
      </c>
      <c r="AQ208" s="3">
        <v>1</v>
      </c>
      <c r="AR208" s="3">
        <v>1</v>
      </c>
    </row>
    <row r="209" spans="1:45" ht="36">
      <c r="A209" s="3">
        <v>6</v>
      </c>
      <c r="B209" s="14" t="s">
        <v>338</v>
      </c>
      <c r="C209" s="3">
        <v>1</v>
      </c>
      <c r="D209" s="3">
        <v>1</v>
      </c>
      <c r="E209" s="3">
        <v>1</v>
      </c>
      <c r="F209" s="3">
        <v>1</v>
      </c>
      <c r="G209" s="3">
        <v>1</v>
      </c>
      <c r="H209" s="3">
        <v>1</v>
      </c>
      <c r="I209" s="3">
        <v>1</v>
      </c>
      <c r="J209" s="3">
        <v>1</v>
      </c>
      <c r="K209" s="3">
        <v>1</v>
      </c>
      <c r="L209" s="3">
        <v>1</v>
      </c>
      <c r="M209" s="3">
        <v>1</v>
      </c>
      <c r="N209" s="3">
        <v>1</v>
      </c>
      <c r="O209" s="3">
        <v>1</v>
      </c>
      <c r="P209" s="3">
        <v>1</v>
      </c>
      <c r="Q209" s="3">
        <v>1</v>
      </c>
      <c r="R209" s="3">
        <v>1</v>
      </c>
      <c r="S209" s="3">
        <v>1</v>
      </c>
      <c r="T209" s="3">
        <v>1</v>
      </c>
      <c r="U209" s="3">
        <v>1</v>
      </c>
      <c r="V209" s="3">
        <v>1</v>
      </c>
      <c r="W209" s="3">
        <v>1</v>
      </c>
      <c r="X209" s="3">
        <v>1</v>
      </c>
      <c r="Y209" s="3">
        <v>1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3">
        <v>1</v>
      </c>
      <c r="AG209" s="3">
        <v>1</v>
      </c>
      <c r="AH209" s="3">
        <v>1</v>
      </c>
      <c r="AI209" s="3">
        <v>1</v>
      </c>
      <c r="AJ209" s="3">
        <v>1</v>
      </c>
      <c r="AK209" s="3">
        <v>1</v>
      </c>
      <c r="AL209" s="3">
        <v>1</v>
      </c>
      <c r="AM209" s="3">
        <v>1</v>
      </c>
      <c r="AN209" s="3">
        <v>1</v>
      </c>
      <c r="AO209" s="3">
        <v>1</v>
      </c>
      <c r="AP209" s="3">
        <v>1</v>
      </c>
      <c r="AQ209" s="3">
        <v>1</v>
      </c>
      <c r="AR209" s="3">
        <v>1</v>
      </c>
    </row>
    <row r="210" spans="1:45">
      <c r="A210" s="3">
        <v>7</v>
      </c>
      <c r="B210" s="14" t="s">
        <v>339</v>
      </c>
      <c r="C210" s="3">
        <v>1</v>
      </c>
      <c r="D210" s="3">
        <v>1</v>
      </c>
      <c r="E210" s="3">
        <v>1</v>
      </c>
      <c r="F210" s="3">
        <v>1</v>
      </c>
      <c r="G210" s="3">
        <v>1</v>
      </c>
      <c r="H210" s="3">
        <v>1</v>
      </c>
      <c r="I210" s="3">
        <v>1</v>
      </c>
      <c r="J210" s="3">
        <v>1</v>
      </c>
      <c r="K210" s="3">
        <v>1</v>
      </c>
      <c r="L210" s="3">
        <v>1</v>
      </c>
      <c r="M210" s="3">
        <v>1</v>
      </c>
      <c r="N210" s="3">
        <v>1</v>
      </c>
      <c r="O210" s="3">
        <v>1</v>
      </c>
      <c r="P210" s="3">
        <v>1</v>
      </c>
      <c r="Q210" s="3">
        <v>1</v>
      </c>
      <c r="R210" s="3">
        <v>1</v>
      </c>
      <c r="S210" s="3">
        <v>1</v>
      </c>
      <c r="T210" s="3">
        <v>1</v>
      </c>
      <c r="U210" s="3">
        <v>1</v>
      </c>
      <c r="V210" s="3">
        <v>1</v>
      </c>
      <c r="W210" s="3">
        <v>1</v>
      </c>
      <c r="X210" s="3">
        <v>1</v>
      </c>
      <c r="Y210" s="3">
        <v>1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3">
        <v>1</v>
      </c>
      <c r="AG210" s="3">
        <v>1</v>
      </c>
      <c r="AH210" s="3">
        <v>1</v>
      </c>
      <c r="AI210" s="3">
        <v>1</v>
      </c>
      <c r="AJ210" s="3">
        <v>1</v>
      </c>
      <c r="AK210" s="3">
        <v>1</v>
      </c>
      <c r="AL210" s="3">
        <v>1</v>
      </c>
      <c r="AM210" s="3">
        <v>1</v>
      </c>
      <c r="AN210" s="3">
        <v>1</v>
      </c>
      <c r="AO210" s="3">
        <v>1</v>
      </c>
      <c r="AP210" s="3">
        <v>1</v>
      </c>
      <c r="AQ210" s="3">
        <v>1</v>
      </c>
      <c r="AR210" s="3">
        <v>1</v>
      </c>
    </row>
    <row r="211" spans="1:45">
      <c r="C211" s="3">
        <f>SUM(C204:C210)</f>
        <v>7</v>
      </c>
      <c r="D211" s="3">
        <f t="shared" ref="D211:AR211" si="64">SUM(D204:D210)</f>
        <v>7</v>
      </c>
      <c r="E211" s="3">
        <f t="shared" si="64"/>
        <v>7</v>
      </c>
      <c r="F211" s="3">
        <f t="shared" si="64"/>
        <v>7</v>
      </c>
      <c r="G211" s="3">
        <f t="shared" si="64"/>
        <v>7</v>
      </c>
      <c r="H211" s="3">
        <f t="shared" si="64"/>
        <v>7</v>
      </c>
      <c r="I211" s="3">
        <f t="shared" si="64"/>
        <v>7</v>
      </c>
      <c r="J211" s="3">
        <f t="shared" si="64"/>
        <v>7</v>
      </c>
      <c r="K211" s="3">
        <f t="shared" si="64"/>
        <v>7</v>
      </c>
      <c r="L211" s="3">
        <f t="shared" si="64"/>
        <v>7</v>
      </c>
      <c r="M211" s="3">
        <f t="shared" si="64"/>
        <v>7</v>
      </c>
      <c r="N211" s="3">
        <f t="shared" si="64"/>
        <v>7</v>
      </c>
      <c r="O211" s="3">
        <f t="shared" si="64"/>
        <v>7</v>
      </c>
      <c r="P211" s="3">
        <f>SUM(P204:P210)</f>
        <v>7</v>
      </c>
      <c r="Q211" s="3">
        <f t="shared" si="64"/>
        <v>7</v>
      </c>
      <c r="R211" s="3">
        <f t="shared" si="64"/>
        <v>7</v>
      </c>
      <c r="S211" s="3">
        <f t="shared" si="64"/>
        <v>7</v>
      </c>
      <c r="T211" s="3">
        <f t="shared" si="64"/>
        <v>7</v>
      </c>
      <c r="U211" s="3">
        <f t="shared" si="64"/>
        <v>7</v>
      </c>
      <c r="V211" s="3">
        <f t="shared" si="64"/>
        <v>7</v>
      </c>
      <c r="W211" s="3">
        <f t="shared" si="64"/>
        <v>7</v>
      </c>
      <c r="X211" s="3">
        <f t="shared" si="64"/>
        <v>7</v>
      </c>
      <c r="Y211" s="3">
        <f t="shared" si="64"/>
        <v>7</v>
      </c>
      <c r="Z211" s="3">
        <f t="shared" si="64"/>
        <v>7</v>
      </c>
      <c r="AA211" s="3">
        <f t="shared" si="64"/>
        <v>7</v>
      </c>
      <c r="AB211" s="3">
        <f t="shared" si="64"/>
        <v>7</v>
      </c>
      <c r="AC211" s="3">
        <f t="shared" si="64"/>
        <v>7</v>
      </c>
      <c r="AD211" s="3">
        <f t="shared" si="64"/>
        <v>7</v>
      </c>
      <c r="AE211" s="3">
        <f t="shared" si="64"/>
        <v>7</v>
      </c>
      <c r="AF211" s="3">
        <f t="shared" si="64"/>
        <v>7</v>
      </c>
      <c r="AG211" s="3">
        <f t="shared" si="64"/>
        <v>7</v>
      </c>
      <c r="AH211" s="3">
        <f t="shared" si="64"/>
        <v>7</v>
      </c>
      <c r="AI211" s="3">
        <f t="shared" si="64"/>
        <v>7</v>
      </c>
      <c r="AJ211" s="3">
        <f t="shared" si="64"/>
        <v>7</v>
      </c>
      <c r="AK211" s="3">
        <f t="shared" si="64"/>
        <v>7</v>
      </c>
      <c r="AL211" s="3">
        <f t="shared" si="64"/>
        <v>7</v>
      </c>
      <c r="AM211" s="3">
        <f t="shared" si="64"/>
        <v>7</v>
      </c>
      <c r="AN211" s="3">
        <f t="shared" si="64"/>
        <v>7</v>
      </c>
      <c r="AO211" s="3">
        <f t="shared" si="64"/>
        <v>7</v>
      </c>
      <c r="AP211" s="3">
        <f t="shared" si="64"/>
        <v>7</v>
      </c>
      <c r="AQ211" s="3">
        <f t="shared" si="64"/>
        <v>7</v>
      </c>
      <c r="AR211" s="3">
        <f t="shared" si="64"/>
        <v>7</v>
      </c>
      <c r="AS211" s="11"/>
    </row>
    <row r="212" spans="1:45">
      <c r="B212" s="15" t="s">
        <v>20</v>
      </c>
      <c r="C212" s="3">
        <f>7-C211</f>
        <v>0</v>
      </c>
      <c r="D212" s="3">
        <f t="shared" ref="D212:AR212" si="65">7-D211</f>
        <v>0</v>
      </c>
      <c r="E212" s="3">
        <f t="shared" si="65"/>
        <v>0</v>
      </c>
      <c r="F212" s="3">
        <f t="shared" si="65"/>
        <v>0</v>
      </c>
      <c r="G212" s="3">
        <f t="shared" si="65"/>
        <v>0</v>
      </c>
      <c r="H212" s="3">
        <f t="shared" si="65"/>
        <v>0</v>
      </c>
      <c r="I212" s="3">
        <f t="shared" si="65"/>
        <v>0</v>
      </c>
      <c r="J212" s="3">
        <f t="shared" si="65"/>
        <v>0</v>
      </c>
      <c r="K212" s="3">
        <f t="shared" si="65"/>
        <v>0</v>
      </c>
      <c r="L212" s="3">
        <f t="shared" si="65"/>
        <v>0</v>
      </c>
      <c r="M212" s="3">
        <f t="shared" si="65"/>
        <v>0</v>
      </c>
      <c r="N212" s="3">
        <f t="shared" si="65"/>
        <v>0</v>
      </c>
      <c r="O212" s="3">
        <f t="shared" si="65"/>
        <v>0</v>
      </c>
      <c r="P212" s="3">
        <f t="shared" si="65"/>
        <v>0</v>
      </c>
      <c r="Q212" s="3">
        <f t="shared" si="65"/>
        <v>0</v>
      </c>
      <c r="R212" s="3">
        <f t="shared" si="65"/>
        <v>0</v>
      </c>
      <c r="S212" s="3">
        <f t="shared" si="65"/>
        <v>0</v>
      </c>
      <c r="T212" s="3">
        <f t="shared" si="65"/>
        <v>0</v>
      </c>
      <c r="U212" s="3">
        <f t="shared" si="65"/>
        <v>0</v>
      </c>
      <c r="V212" s="3">
        <f t="shared" si="65"/>
        <v>0</v>
      </c>
      <c r="W212" s="3">
        <f t="shared" si="65"/>
        <v>0</v>
      </c>
      <c r="X212" s="3">
        <f t="shared" si="65"/>
        <v>0</v>
      </c>
      <c r="Y212" s="3">
        <f t="shared" si="65"/>
        <v>0</v>
      </c>
      <c r="Z212" s="3">
        <f t="shared" si="65"/>
        <v>0</v>
      </c>
      <c r="AA212" s="3">
        <f t="shared" si="65"/>
        <v>0</v>
      </c>
      <c r="AB212" s="3">
        <f t="shared" si="65"/>
        <v>0</v>
      </c>
      <c r="AC212" s="3">
        <f t="shared" si="65"/>
        <v>0</v>
      </c>
      <c r="AD212" s="3">
        <f t="shared" si="65"/>
        <v>0</v>
      </c>
      <c r="AE212" s="3">
        <f t="shared" si="65"/>
        <v>0</v>
      </c>
      <c r="AF212" s="3">
        <f t="shared" si="65"/>
        <v>0</v>
      </c>
      <c r="AG212" s="3">
        <f t="shared" si="65"/>
        <v>0</v>
      </c>
      <c r="AH212" s="3">
        <f t="shared" si="65"/>
        <v>0</v>
      </c>
      <c r="AI212" s="3">
        <f t="shared" si="65"/>
        <v>0</v>
      </c>
      <c r="AJ212" s="3">
        <f t="shared" si="65"/>
        <v>0</v>
      </c>
      <c r="AK212" s="3">
        <f t="shared" si="65"/>
        <v>0</v>
      </c>
      <c r="AL212" s="3">
        <f t="shared" si="65"/>
        <v>0</v>
      </c>
      <c r="AM212" s="3">
        <f t="shared" si="65"/>
        <v>0</v>
      </c>
      <c r="AN212" s="3">
        <f t="shared" si="65"/>
        <v>0</v>
      </c>
      <c r="AO212" s="3">
        <f t="shared" si="65"/>
        <v>0</v>
      </c>
      <c r="AP212" s="3">
        <f t="shared" si="65"/>
        <v>0</v>
      </c>
      <c r="AQ212" s="3">
        <f t="shared" si="65"/>
        <v>0</v>
      </c>
      <c r="AR212" s="3">
        <f t="shared" si="65"/>
        <v>0</v>
      </c>
      <c r="AS212" s="12">
        <f>SUM(C212:AR212)</f>
        <v>0</v>
      </c>
    </row>
  </sheetData>
  <mergeCells count="30">
    <mergeCell ref="A203:B203"/>
    <mergeCell ref="F4:F9"/>
    <mergeCell ref="A180:B180"/>
    <mergeCell ref="A188:B188"/>
    <mergeCell ref="A196:B196"/>
    <mergeCell ref="A60:B60"/>
    <mergeCell ref="A151:B151"/>
    <mergeCell ref="A159:B159"/>
    <mergeCell ref="A165:B165"/>
    <mergeCell ref="A172:B172"/>
    <mergeCell ref="A121:B121"/>
    <mergeCell ref="A128:B128"/>
    <mergeCell ref="A136:B136"/>
    <mergeCell ref="A145:B145"/>
    <mergeCell ref="A66:B66"/>
    <mergeCell ref="A74:B74"/>
    <mergeCell ref="A53:B53"/>
    <mergeCell ref="A87:B87"/>
    <mergeCell ref="A96:B96"/>
    <mergeCell ref="A103:B103"/>
    <mergeCell ref="A115:B115"/>
    <mergeCell ref="L4:L9"/>
    <mergeCell ref="M4:M9"/>
    <mergeCell ref="G43:G48"/>
    <mergeCell ref="H43:H48"/>
    <mergeCell ref="A3:B3"/>
    <mergeCell ref="A14:B14"/>
    <mergeCell ref="A26:B26"/>
    <mergeCell ref="A42:B42"/>
    <mergeCell ref="E4:E9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Oktavian</dc:creator>
  <cp:keywords/>
  <dc:description/>
  <cp:lastModifiedBy>Sheila Fathimatuz Zahra</cp:lastModifiedBy>
  <cp:revision/>
  <dcterms:created xsi:type="dcterms:W3CDTF">2023-05-11T13:08:32Z</dcterms:created>
  <dcterms:modified xsi:type="dcterms:W3CDTF">2025-03-07T06:40:22Z</dcterms:modified>
  <cp:category/>
  <cp:contentStatus/>
</cp:coreProperties>
</file>